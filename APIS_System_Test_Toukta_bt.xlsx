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ystem testing" sheetId="1" state="visible" r:id="rId1"/>
  </sheets>
  <definedNames>
    <definedName name="_xlnm._FilterDatabase" localSheetId="0" hidden="1">'System testing'!$A$1:$AT$22</definedName>
    <definedName name="_xlnm._FilterDatabase" localSheetId="0" hidden="1">'System testing'!$A$1:$AT$22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<sst xmlns="http://schemas.openxmlformats.org/spreadsheetml/2006/main" count="130" uniqueCount="130">
  <si>
    <t>Year</t>
  </si>
  <si>
    <t xml:space="preserve">Investment License date</t>
  </si>
  <si>
    <t xml:space="preserve">date first revenue</t>
  </si>
  <si>
    <t xml:space="preserve">Name of enterprise / branch representative</t>
  </si>
  <si>
    <t>TIN</t>
  </si>
  <si>
    <t>Province</t>
  </si>
  <si>
    <t>District</t>
  </si>
  <si>
    <t xml:space="preserve">Zone 1</t>
  </si>
  <si>
    <t xml:space="preserve">Zone 2</t>
  </si>
  <si>
    <t xml:space="preserve">Zone 3</t>
  </si>
  <si>
    <t>Sector</t>
  </si>
  <si>
    <t>Revenue</t>
  </si>
  <si>
    <t>Expense</t>
  </si>
  <si>
    <t xml:space="preserve">Net profit</t>
  </si>
  <si>
    <t xml:space="preserve">Re-invest net profit</t>
  </si>
  <si>
    <t xml:space="preserve">PT paid</t>
  </si>
  <si>
    <t xml:space="preserve">Benchmark PT Rate</t>
  </si>
  <si>
    <t xml:space="preserve">Benchmark PT</t>
  </si>
  <si>
    <t xml:space="preserve">PT TE</t>
  </si>
  <si>
    <t xml:space="preserve">Tax holiday period (years)</t>
  </si>
  <si>
    <t xml:space="preserve">Date of Registration License</t>
  </si>
  <si>
    <t xml:space="preserve">Businesses engaged in human resource development</t>
  </si>
  <si>
    <t xml:space="preserve">Businesses that apply innovative technologies that are environmentally friendly, resource-efficient, and use clean energy for production</t>
  </si>
  <si>
    <t xml:space="preserve">SEZ developer</t>
  </si>
  <si>
    <t xml:space="preserve">SEZ investor</t>
  </si>
  <si>
    <t xml:space="preserve">Activities on production industry, services on tourism industry development, services in public health, education, sport and physical activity, and real estate development</t>
  </si>
  <si>
    <t xml:space="preserve">Income from activities that provide a public benefit or social purpose, such as art, sport etc</t>
  </si>
  <si>
    <t xml:space="preserve">Rent from the assets of a business operator who complies with their income tax obligations</t>
  </si>
  <si>
    <t xml:space="preserve">Income from the transfer of real estate rights recorded in the balance sheet of a business operator</t>
  </si>
  <si>
    <t xml:space="preserve">Activity 1 of Art. 9, IPL</t>
  </si>
  <si>
    <t xml:space="preserve">Activity 2 of Art. 9, IPL</t>
  </si>
  <si>
    <t xml:space="preserve">Activity 3 of Art. 9, IPL</t>
  </si>
  <si>
    <t xml:space="preserve">Activity 4 of Art. 9, IPL</t>
  </si>
  <si>
    <t xml:space="preserve">Activity 5 of Art. 9, IPL</t>
  </si>
  <si>
    <t xml:space="preserve">Activity 6 of Art. 9, IPL</t>
  </si>
  <si>
    <t xml:space="preserve">Activity 7 of Art. 9, IPL</t>
  </si>
  <si>
    <t xml:space="preserve">Activity 8 of Art. 9, IPL</t>
  </si>
  <si>
    <t xml:space="preserve">Activity 9 of Art. 9, IPL</t>
  </si>
  <si>
    <t xml:space="preserve">List of enterprises holding VAT system</t>
  </si>
  <si>
    <t xml:space="preserve">date of re-invest</t>
  </si>
  <si>
    <t xml:space="preserve">Amount of net-profit re-invested (billion Kip)</t>
  </si>
  <si>
    <t xml:space="preserve">Amount of total assets (billio Kip)</t>
  </si>
  <si>
    <t xml:space="preserve">Annual turnover (billion Kip)</t>
  </si>
  <si>
    <t xml:space="preserve">Numbers of staff</t>
  </si>
  <si>
    <t xml:space="preserve">Registration date of firms in Lao Stock Exchange</t>
  </si>
  <si>
    <t xml:space="preserve">TE
#1</t>
  </si>
  <si>
    <t xml:space="preserve">TE
#2</t>
  </si>
  <si>
    <t xml:space="preserve">TE
#3</t>
  </si>
  <si>
    <t xml:space="preserve">TE
#4</t>
  </si>
  <si>
    <t xml:space="preserve">TE
#5</t>
  </si>
  <si>
    <t xml:space="preserve">TE
#6</t>
  </si>
  <si>
    <t xml:space="preserve">TE
#7</t>
  </si>
  <si>
    <t xml:space="preserve">TE
#8</t>
  </si>
  <si>
    <t xml:space="preserve">TE
#9</t>
  </si>
  <si>
    <t xml:space="preserve">TE
#10</t>
  </si>
  <si>
    <t xml:space="preserve">TE
#11</t>
  </si>
  <si>
    <t xml:space="preserve">TE
#12</t>
  </si>
  <si>
    <t xml:space="preserve">TE
#13</t>
  </si>
  <si>
    <t xml:space="preserve">TE
#14</t>
  </si>
  <si>
    <t xml:space="preserve">TE
#15</t>
  </si>
  <si>
    <t xml:space="preserve">TE
#16</t>
  </si>
  <si>
    <t xml:space="preserve">TE
#17</t>
  </si>
  <si>
    <t xml:space="preserve">TE
#18</t>
  </si>
  <si>
    <t xml:space="preserve">TE
#19</t>
  </si>
  <si>
    <t xml:space="preserve">TE
#20</t>
  </si>
  <si>
    <t xml:space="preserve">TE
#Other</t>
  </si>
  <si>
    <t>TE#</t>
  </si>
  <si>
    <t xml:space="preserve">Profit Tax TE</t>
  </si>
  <si>
    <t xml:space="preserve">ບໍລິສັດ ຮຸ້ນສ່ວນຕິນເງ່ຍ ລາວ ຈຳກັດ</t>
  </si>
  <si>
    <t>763723844-000</t>
  </si>
  <si>
    <t>Champasak</t>
  </si>
  <si>
    <t xml:space="preserve">Paksong District</t>
  </si>
  <si>
    <t>Agriculture</t>
  </si>
  <si>
    <t xml:space="preserve">ບໍລິສັດ  LaosŒThailand »ô¸ µ¾¤²¾ì¾ ຈຳກັດ</t>
  </si>
  <si>
    <t>602733805-900</t>
  </si>
  <si>
    <t>Savannakhet</t>
  </si>
  <si>
    <t xml:space="preserve">Outhoumphone District</t>
  </si>
  <si>
    <t xml:space="preserve">ບໍລິສັດ ແມ່ຂອງປູກຕົ້ນໄມ້ ຈຳກັດ</t>
  </si>
  <si>
    <t>379505006-900</t>
  </si>
  <si>
    <t>Bolikhamsai</t>
  </si>
  <si>
    <t xml:space="preserve">ບໍລິສັດ ເອັສ໌ທີດີ ຟຣາມ ຈຳກັດ</t>
  </si>
  <si>
    <t>140243135-000</t>
  </si>
  <si>
    <t xml:space="preserve">Vientiane Capital Province</t>
  </si>
  <si>
    <t xml:space="preserve">Naxaithong District</t>
  </si>
  <si>
    <t xml:space="preserve">Bank Taiwan ໂຄໂອເປີເຣທີບ ສາຂາVientiane Capital</t>
  </si>
  <si>
    <t>851705381-000</t>
  </si>
  <si>
    <t>Banking</t>
  </si>
  <si>
    <t xml:space="preserve">Bank Commerceຕ່າງCountryລາວ ມະຫາຊົນ</t>
  </si>
  <si>
    <t>909954240-900</t>
  </si>
  <si>
    <t xml:space="preserve">Chanthabuly District</t>
  </si>
  <si>
    <t xml:space="preserve">®ðìò¦ñ© LaosÀ¸ó- ´½¹¾§ö-</t>
  </si>
  <si>
    <t>729549606-900</t>
  </si>
  <si>
    <t xml:space="preserve">Xaysetha District</t>
  </si>
  <si>
    <t>Commerce</t>
  </si>
  <si>
    <t xml:space="preserve">ບໍລິສັດ ລາວ ຄາງທາຍ ຜະລິດຢາພື້ນDistrict ຈຳກັດ</t>
  </si>
  <si>
    <t>765173026-000</t>
  </si>
  <si>
    <t xml:space="preserve">Xaythany District</t>
  </si>
  <si>
    <t xml:space="preserve">ບໍລິສັດ ພັດທະນາຕົວDistrictອັດສະລິຍະ ຈຳກັດ</t>
  </si>
  <si>
    <t>670341668-000</t>
  </si>
  <si>
    <t>Construction</t>
  </si>
  <si>
    <t xml:space="preserve">ບໍລິສັດ ບໍລິການທີ່ປຶກສາ ລາວນໍ້າຄຳ ດ້ານແຮ່ທາດ ຈຳກັດ</t>
  </si>
  <si>
    <t>508054437-000</t>
  </si>
  <si>
    <t>Consultancy</t>
  </si>
  <si>
    <t xml:space="preserve">ບໍລິສັດ ຊິນດາ ທີ່ປຶກສາບັນຊີ ຈຳກັດຜູ້ດຽວ</t>
  </si>
  <si>
    <t>170631442-000</t>
  </si>
  <si>
    <t xml:space="preserve">ບໍລິສັດ ຮຸ່ງເຮືອງ ຄຸນນະທຳ ທີ່ປຶກສາກົດໝາຍ ຈຳກັດ</t>
  </si>
  <si>
    <t>126321627-000</t>
  </si>
  <si>
    <t xml:space="preserve">Sisattanak District</t>
  </si>
  <si>
    <t xml:space="preserve">ບໍລິສັດ ພົມສຸພາແອນຊັນ ຈຳກັດ</t>
  </si>
  <si>
    <t>587445017-000</t>
  </si>
  <si>
    <t xml:space="preserve">Sikhottabong District</t>
  </si>
  <si>
    <t xml:space="preserve">ບໍລິສັດ ພູທອງ ທີ່ປຶກສາ ສຳຫຼວດບໍ່ແຮ່ ຈຳກັດຜູ້ດຽວ</t>
  </si>
  <si>
    <t>822868467-000</t>
  </si>
  <si>
    <t xml:space="preserve">ບໍລິສັດ ເຄ ແອນ ວີລີໂກ ຄາວໂຊລ ຈຳກັດຜູ້ດຽວ</t>
  </si>
  <si>
    <t>057258273-000</t>
  </si>
  <si>
    <t xml:space="preserve">ບໍລິສັດ ພີ ເຮັສ ແອວ ລໍ ຈຳກັດຜູ້ດຽວ</t>
  </si>
  <si>
    <t>773663486-000</t>
  </si>
  <si>
    <t xml:space="preserve">ບໍລິສັັດ ຈຽນຢີ່ ທີ່ປຶກສາ ຈຳກັດຜູ້ດຽວ</t>
  </si>
  <si>
    <t>210408429-000</t>
  </si>
  <si>
    <t xml:space="preserve">ສູນວິຊາຊີບ ຊີເອັມຊີ ຈຳກັດ</t>
  </si>
  <si>
    <t>588616406-900</t>
  </si>
  <si>
    <t xml:space="preserve">Hadxayfong District</t>
  </si>
  <si>
    <t>Education</t>
  </si>
  <si>
    <t xml:space="preserve">ໂຮງຮຽນລ້ຽງເດັກ ແລະ ອະນຸບານ ສີດາລາ</t>
  </si>
  <si>
    <t>087635121-000</t>
  </si>
  <si>
    <t xml:space="preserve">®ðìò¦ñ© Ä³³É¾ ນໍ້າ¤¼®3 ¥¿¡ñ©°øÉ©¼¸</t>
  </si>
  <si>
    <t>232280925-900</t>
  </si>
  <si>
    <t>Xiangkhouang</t>
  </si>
  <si>
    <t xml:space="preserve">Khoune District</t>
  </si>
  <si>
    <t>Energy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</si>
</sst>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-&quot;$&quot;* #,##0.00_-;\-&quot;$&quot;* #,##0.00_-;_-&quot;$&quot;* &quot;-&quot;??_-;_-@_-"/>
    <numFmt numFmtId="166" formatCode="_-* #,##0_-;\-* #,##0_-;_-* &quot;-&quot;_-;_-@_-"/>
    <numFmt numFmtId="167" formatCode="_-&quot;$&quot;* #,##0_-;\-&quot;$&quot;* #,##0_-;_-&quot;$&quot;* &quot;-&quot;_-;_-@_-"/>
    <numFmt numFmtId="168" formatCode="_(* #,##0_);_(* \(#,##0\);_(* &quot;-&quot;??_);_(@_)"/>
  </numFmts>
  <fonts count="29">
    <font>
      <sz val="12.000000"/>
      <color theme="1"/>
      <name val="Calibri"/>
      <scheme val="minor"/>
    </font>
    <font>
      <sz val="11.000000"/>
      <color theme="1"/>
      <name val="Calibri"/>
      <scheme val="minor"/>
    </font>
    <font>
      <u/>
      <sz val="11.000000"/>
      <color indexed="4"/>
      <name val="Calibri"/>
      <scheme val="minor"/>
    </font>
    <font>
      <u/>
      <sz val="11.000000"/>
      <color indexed="20"/>
      <name val="Calibri"/>
      <scheme val="minor"/>
    </font>
    <font>
      <sz val="11.000000"/>
      <color indexed="2"/>
      <name val="Calibri"/>
      <scheme val="minor"/>
    </font>
    <font>
      <b/>
      <sz val="18.000000"/>
      <color theme="3"/>
      <name val="Calibri"/>
      <scheme val="minor"/>
    </font>
    <font>
      <i/>
      <sz val="11.000000"/>
      <color rgb="FF7F7F7F"/>
      <name val="Calibri"/>
      <scheme val="minor"/>
    </font>
    <font>
      <b/>
      <sz val="15.000000"/>
      <color theme="3"/>
      <name val="Calibri"/>
      <scheme val="minor"/>
    </font>
    <font>
      <b/>
      <sz val="13.000000"/>
      <color theme="3"/>
      <name val="Calibri"/>
      <scheme val="minor"/>
    </font>
    <font>
      <b/>
      <sz val="11.000000"/>
      <color theme="3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indexed="65"/>
      <name val="Calibri"/>
      <scheme val="minor"/>
    </font>
    <font>
      <sz val="11.000000"/>
      <color rgb="FFFA7D00"/>
      <name val="Calibri"/>
      <scheme val="minor"/>
    </font>
    <font>
      <b/>
      <sz val="11.000000"/>
      <color theme="1"/>
      <name val="Calibri"/>
      <scheme val="minor"/>
    </font>
    <font>
      <sz val="11.000000"/>
      <color rgb="FF006100"/>
      <name val="Calibri"/>
      <scheme val="minor"/>
    </font>
    <font>
      <sz val="11.000000"/>
      <color rgb="FF9C0006"/>
      <name val="Calibri"/>
      <scheme val="minor"/>
    </font>
    <font>
      <sz val="11.000000"/>
      <color rgb="FF9C6500"/>
      <name val="Calibri"/>
      <scheme val="minor"/>
    </font>
    <font>
      <sz val="11.000000"/>
      <color theme="0"/>
      <name val="Calibri"/>
      <scheme val="minor"/>
    </font>
    <font>
      <sz val="10.000000"/>
      <color theme="1"/>
      <name val="Arial"/>
    </font>
    <font>
      <b/>
      <sz val="10.000000"/>
      <color theme="1"/>
      <name val="Arial"/>
    </font>
    <font>
      <b/>
      <sz val="10.000000"/>
      <color theme="1"/>
      <name val="Times New Roman"/>
    </font>
    <font>
      <b/>
      <sz val="8.000000"/>
      <color theme="1"/>
      <name val="Arial"/>
    </font>
    <font>
      <b/>
      <sz val="8.000000"/>
      <name val="Arial"/>
    </font>
    <font>
      <sz val="8.000000"/>
      <color theme="1"/>
      <name val="Arial"/>
    </font>
    <font>
      <sz val="9.000000"/>
      <color theme="1"/>
      <name val="Arial"/>
    </font>
    <font>
      <b/>
      <sz val="9.000000"/>
      <color theme="1"/>
      <name val="Arial"/>
    </font>
    <font>
      <sz val="8.000000"/>
      <name val="Arial"/>
    </font>
  </fonts>
  <fills count="37">
    <fill>
      <patternFill patternType="none"/>
    </fill>
    <fill>
      <patternFill patternType="gray125"/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168889431398"/>
      </patternFill>
    </fill>
    <fill>
      <patternFill patternType="solid">
        <fgColor theme="4" tint="0.59999389629810496"/>
      </patternFill>
    </fill>
    <fill>
      <patternFill patternType="solid">
        <fgColor theme="4" tint="0.39997558519241899"/>
      </patternFill>
    </fill>
    <fill>
      <patternFill patternType="solid">
        <fgColor theme="5"/>
      </patternFill>
    </fill>
    <fill>
      <patternFill patternType="solid">
        <fgColor theme="5" tint="0.79998168889431398"/>
      </patternFill>
    </fill>
    <fill>
      <patternFill patternType="solid">
        <fgColor theme="5" tint="0.59999389629810496"/>
      </patternFill>
    </fill>
    <fill>
      <patternFill patternType="solid">
        <fgColor theme="5" tint="0.39997558519241899"/>
      </patternFill>
    </fill>
    <fill>
      <patternFill patternType="solid">
        <fgColor theme="6"/>
      </patternFill>
    </fill>
    <fill>
      <patternFill patternType="solid">
        <fgColor theme="6" tint="0.79998168889431398"/>
      </patternFill>
    </fill>
    <fill>
      <patternFill patternType="solid">
        <fgColor theme="6" tint="0.59999389629810496"/>
      </patternFill>
    </fill>
    <fill>
      <patternFill patternType="solid">
        <fgColor theme="6" tint="0.39997558519241899"/>
      </patternFill>
    </fill>
    <fill>
      <patternFill patternType="solid">
        <fgColor theme="7"/>
      </patternFill>
    </fill>
    <fill>
      <patternFill patternType="solid">
        <fgColor theme="7" tint="0.79998168889431398"/>
      </patternFill>
    </fill>
    <fill>
      <patternFill patternType="solid">
        <fgColor theme="7" tint="0.59999389629810496"/>
      </patternFill>
    </fill>
    <fill>
      <patternFill patternType="solid">
        <fgColor theme="7" tint="0.39997558519241899"/>
      </patternFill>
    </fill>
    <fill>
      <patternFill patternType="solid">
        <fgColor theme="8"/>
      </patternFill>
    </fill>
    <fill>
      <patternFill patternType="solid">
        <fgColor theme="8" tint="0.79998168889431398"/>
      </patternFill>
    </fill>
    <fill>
      <patternFill patternType="solid">
        <fgColor theme="8" tint="0.59999389629810496"/>
      </patternFill>
    </fill>
    <fill>
      <patternFill patternType="solid">
        <fgColor theme="8" tint="0.39997558519241899"/>
      </patternFill>
    </fill>
    <fill>
      <patternFill patternType="solid">
        <fgColor theme="9"/>
      </patternFill>
    </fill>
    <fill>
      <patternFill patternType="solid">
        <fgColor theme="9" tint="0.79998168889431398"/>
      </patternFill>
    </fill>
    <fill>
      <patternFill patternType="solid">
        <fgColor theme="9" tint="0.59999389629810496"/>
      </patternFill>
    </fill>
    <fill>
      <patternFill patternType="solid">
        <fgColor theme="9" tint="0.39997558519241899"/>
      </patternFill>
    </fill>
    <fill>
      <patternFill patternType="solid">
        <fgColor theme="0"/>
      </patternFill>
    </fill>
    <fill>
      <patternFill patternType="solid">
        <fgColor theme="0" tint="-0.14999847407452599"/>
      </patternFill>
    </fill>
    <fill>
      <patternFill patternType="solid">
        <fgColor indexed="5"/>
      </patternFill>
    </fill>
    <fill>
      <patternFill patternType="solid">
        <fgColor theme="3" tint="0.79998168889431398"/>
      </patternFill>
    </fill>
  </fills>
  <borders count="16">
    <border>
      <left style="none"/>
      <right style="none"/>
      <top style="none"/>
      <bottom style="none"/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none"/>
      <right style="none"/>
      <top style="none"/>
      <bottom style="medium">
        <color theme="4" tint="0.499984740745262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 style="none"/>
    </border>
    <border>
      <left style="none"/>
      <right style="none"/>
      <top style="hair">
        <color auto="1"/>
      </top>
      <bottom style="hair">
        <color auto="1"/>
      </bottom>
      <diagonal style="none"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</borders>
  <cellStyleXfs count="49">
    <xf fontId="0" fillId="0" borderId="0" numFmtId="0" applyNumberFormat="1" applyFont="1" applyFill="1" applyBorder="1"/>
    <xf fontId="0" fillId="0" borderId="0" numFmtId="164" applyNumberFormat="1" applyFont="0" applyFill="0" applyBorder="0" applyProtection="0"/>
    <xf fontId="1" fillId="0" borderId="0" numFmtId="165" applyNumberFormat="1" applyFont="0" applyFill="0" applyBorder="0" applyProtection="0">
      <alignment vertical="center"/>
    </xf>
    <xf fontId="0" fillId="0" borderId="0" numFmtId="9" applyNumberFormat="1" applyFont="0" applyFill="0" applyBorder="0" applyProtection="0"/>
    <xf fontId="1" fillId="0" borderId="0" numFmtId="166" applyNumberFormat="1" applyFont="0" applyFill="0" applyBorder="0" applyProtection="0">
      <alignment vertical="center"/>
    </xf>
    <xf fontId="1" fillId="0" borderId="0" numFmtId="167" applyNumberFormat="1" applyFont="0" applyFill="0" applyBorder="0" applyProtection="0">
      <alignment vertical="center"/>
    </xf>
    <xf fontId="2" fillId="0" borderId="0" numFmtId="0" applyNumberFormat="0" applyFont="1" applyFill="0" applyBorder="0" applyProtection="0">
      <alignment vertical="center"/>
    </xf>
    <xf fontId="3" fillId="0" borderId="0" numFmtId="0" applyNumberFormat="0" applyFont="1" applyFill="0" applyBorder="0" applyProtection="0">
      <alignment vertical="center"/>
    </xf>
    <xf fontId="1" fillId="2" borderId="1" numFmtId="0" applyNumberFormat="0" applyFont="0" applyFill="1" applyBorder="1" applyProtection="0">
      <alignment vertical="center"/>
    </xf>
    <xf fontId="4" fillId="0" borderId="0" numFmtId="0" applyNumberFormat="0" applyFont="1" applyFill="0" applyBorder="0" applyProtection="0">
      <alignment vertical="center"/>
    </xf>
    <xf fontId="5" fillId="0" borderId="0" numFmtId="0" applyNumberFormat="0" applyFont="1" applyFill="0" applyBorder="0" applyProtection="0">
      <alignment vertical="center"/>
    </xf>
    <xf fontId="6" fillId="0" borderId="0" numFmtId="0" applyNumberFormat="0" applyFont="1" applyFill="0" applyBorder="0" applyProtection="0">
      <alignment vertical="center"/>
    </xf>
    <xf fontId="7" fillId="0" borderId="2" numFmtId="0" applyNumberFormat="0" applyFont="1" applyFill="0" applyBorder="1" applyProtection="0">
      <alignment vertical="center"/>
    </xf>
    <xf fontId="8" fillId="0" borderId="2" numFmtId="0" applyNumberFormat="0" applyFont="1" applyFill="0" applyBorder="1" applyProtection="0">
      <alignment vertical="center"/>
    </xf>
    <xf fontId="9" fillId="0" borderId="3" numFmtId="0" applyNumberFormat="0" applyFont="1" applyFill="0" applyBorder="1" applyProtection="0">
      <alignment vertical="center"/>
    </xf>
    <xf fontId="9" fillId="0" borderId="0" numFmtId="0" applyNumberFormat="0" applyFont="1" applyFill="0" applyBorder="0" applyProtection="0">
      <alignment vertical="center"/>
    </xf>
    <xf fontId="10" fillId="3" borderId="4" numFmtId="0" applyNumberFormat="0" applyFont="1" applyFill="1" applyBorder="1" applyProtection="0">
      <alignment vertical="center"/>
    </xf>
    <xf fontId="11" fillId="4" borderId="5" numFmtId="0" applyNumberFormat="0" applyFont="1" applyFill="1" applyBorder="1" applyProtection="0">
      <alignment vertical="center"/>
    </xf>
    <xf fontId="12" fillId="4" borderId="4" numFmtId="0" applyNumberFormat="0" applyFont="1" applyFill="1" applyBorder="1" applyProtection="0">
      <alignment vertical="center"/>
    </xf>
    <xf fontId="13" fillId="5" borderId="6" numFmtId="0" applyNumberFormat="0" applyFont="1" applyFill="1" applyBorder="1" applyProtection="0">
      <alignment vertical="center"/>
    </xf>
    <xf fontId="14" fillId="0" borderId="7" numFmtId="0" applyNumberFormat="0" applyFont="1" applyFill="0" applyBorder="1" applyProtection="0">
      <alignment vertical="center"/>
    </xf>
    <xf fontId="15" fillId="0" borderId="8" numFmtId="0" applyNumberFormat="0" applyFont="1" applyFill="0" applyBorder="1" applyProtection="0">
      <alignment vertical="center"/>
    </xf>
    <xf fontId="16" fillId="6" borderId="0" numFmtId="0" applyNumberFormat="0" applyFont="1" applyFill="1" applyBorder="0" applyProtection="0">
      <alignment vertical="center"/>
    </xf>
    <xf fontId="17" fillId="7" borderId="0" numFmtId="0" applyNumberFormat="0" applyFont="1" applyFill="1" applyBorder="0" applyProtection="0">
      <alignment vertical="center"/>
    </xf>
    <xf fontId="18" fillId="8" borderId="0" numFmtId="0" applyNumberFormat="0" applyFont="1" applyFill="1" applyBorder="0" applyProtection="0">
      <alignment vertical="center"/>
    </xf>
    <xf fontId="19" fillId="9" borderId="0" numFmtId="0" applyNumberFormat="0" applyFont="1" applyFill="1" applyBorder="0" applyProtection="0">
      <alignment vertical="center"/>
    </xf>
    <xf fontId="1" fillId="10" borderId="0" numFmtId="0" applyNumberFormat="0" applyFont="1" applyFill="1" applyBorder="0" applyProtection="0">
      <alignment vertical="center"/>
    </xf>
    <xf fontId="1" fillId="11" borderId="0" numFmtId="0" applyNumberFormat="0" applyFont="1" applyFill="1" applyBorder="0" applyProtection="0">
      <alignment vertical="center"/>
    </xf>
    <xf fontId="19" fillId="12" borderId="0" numFmtId="0" applyNumberFormat="0" applyFont="1" applyFill="1" applyBorder="0" applyProtection="0">
      <alignment vertical="center"/>
    </xf>
    <xf fontId="19" fillId="13" borderId="0" numFmtId="0" applyNumberFormat="0" applyFont="1" applyFill="1" applyBorder="0" applyProtection="0">
      <alignment vertical="center"/>
    </xf>
    <xf fontId="1" fillId="14" borderId="0" numFmtId="0" applyNumberFormat="0" applyFont="1" applyFill="1" applyBorder="0" applyProtection="0">
      <alignment vertical="center"/>
    </xf>
    <xf fontId="1" fillId="15" borderId="0" numFmtId="0" applyNumberFormat="0" applyFont="1" applyFill="1" applyBorder="0" applyProtection="0">
      <alignment vertical="center"/>
    </xf>
    <xf fontId="19" fillId="16" borderId="0" numFmtId="0" applyNumberFormat="0" applyFont="1" applyFill="1" applyBorder="0" applyProtection="0">
      <alignment vertical="center"/>
    </xf>
    <xf fontId="19" fillId="17" borderId="0" numFmtId="0" applyNumberFormat="0" applyFont="1" applyFill="1" applyBorder="0" applyProtection="0">
      <alignment vertical="center"/>
    </xf>
    <xf fontId="1" fillId="18" borderId="0" numFmtId="0" applyNumberFormat="0" applyFont="1" applyFill="1" applyBorder="0" applyProtection="0">
      <alignment vertical="center"/>
    </xf>
    <xf fontId="1" fillId="19" borderId="0" numFmtId="0" applyNumberFormat="0" applyFont="1" applyFill="1" applyBorder="0" applyProtection="0">
      <alignment vertical="center"/>
    </xf>
    <xf fontId="19" fillId="20" borderId="0" numFmtId="0" applyNumberFormat="0" applyFont="1" applyFill="1" applyBorder="0" applyProtection="0">
      <alignment vertical="center"/>
    </xf>
    <xf fontId="19" fillId="21" borderId="0" numFmtId="0" applyNumberFormat="0" applyFont="1" applyFill="1" applyBorder="0" applyProtection="0">
      <alignment vertical="center"/>
    </xf>
    <xf fontId="1" fillId="22" borderId="0" numFmtId="0" applyNumberFormat="0" applyFont="1" applyFill="1" applyBorder="0" applyProtection="0">
      <alignment vertical="center"/>
    </xf>
    <xf fontId="1" fillId="23" borderId="0" numFmtId="0" applyNumberFormat="0" applyFont="1" applyFill="1" applyBorder="0" applyProtection="0">
      <alignment vertical="center"/>
    </xf>
    <xf fontId="19" fillId="24" borderId="0" numFmtId="0" applyNumberFormat="0" applyFont="1" applyFill="1" applyBorder="0" applyProtection="0">
      <alignment vertical="center"/>
    </xf>
    <xf fontId="19" fillId="25" borderId="0" numFmtId="0" applyNumberFormat="0" applyFont="1" applyFill="1" applyBorder="0" applyProtection="0">
      <alignment vertical="center"/>
    </xf>
    <xf fontId="1" fillId="26" borderId="0" numFmtId="0" applyNumberFormat="0" applyFont="1" applyFill="1" applyBorder="0" applyProtection="0">
      <alignment vertical="center"/>
    </xf>
    <xf fontId="1" fillId="27" borderId="0" numFmtId="0" applyNumberFormat="0" applyFont="1" applyFill="1" applyBorder="0" applyProtection="0">
      <alignment vertical="center"/>
    </xf>
    <xf fontId="19" fillId="28" borderId="0" numFmtId="0" applyNumberFormat="0" applyFont="1" applyFill="1" applyBorder="0" applyProtection="0">
      <alignment vertical="center"/>
    </xf>
    <xf fontId="19" fillId="29" borderId="0" numFmtId="0" applyNumberFormat="0" applyFont="1" applyFill="1" applyBorder="0" applyProtection="0">
      <alignment vertical="center"/>
    </xf>
    <xf fontId="1" fillId="30" borderId="0" numFmtId="0" applyNumberFormat="0" applyFont="1" applyFill="1" applyBorder="0" applyProtection="0">
      <alignment vertical="center"/>
    </xf>
    <xf fontId="1" fillId="31" borderId="0" numFmtId="0" applyNumberFormat="0" applyFont="1" applyFill="1" applyBorder="0" applyProtection="0">
      <alignment vertical="center"/>
    </xf>
    <xf fontId="19" fillId="32" borderId="0" numFmtId="0" applyNumberFormat="0" applyFont="1" applyFill="1" applyBorder="0" applyProtection="0">
      <alignment vertical="center"/>
    </xf>
  </cellStyleXfs>
  <cellXfs count="55">
    <xf fontId="0" fillId="0" borderId="0" numFmtId="0" xfId="0"/>
    <xf fontId="20" fillId="0" borderId="0" numFmtId="0" xfId="0" applyFont="1"/>
    <xf fontId="20" fillId="0" borderId="0" numFmtId="0" xfId="0" applyFont="1" applyAlignment="1">
      <alignment vertical="center" wrapText="1"/>
    </xf>
    <xf fontId="20" fillId="0" borderId="0" numFmtId="0" xfId="0" applyFont="1" applyAlignment="1">
      <alignment wrapText="1"/>
    </xf>
    <xf fontId="20" fillId="0" borderId="0" numFmtId="0" xfId="0" applyFont="1" applyAlignment="1">
      <alignment vertical="center"/>
    </xf>
    <xf fontId="20" fillId="0" borderId="0" numFmtId="0" xfId="0" applyFont="1" applyAlignment="1">
      <alignment horizontal="center" vertical="center"/>
    </xf>
    <xf fontId="20" fillId="0" borderId="0" numFmtId="164" xfId="1" applyNumberFormat="1" applyFont="1" applyAlignment="1">
      <alignment vertical="center"/>
    </xf>
    <xf fontId="20" fillId="0" borderId="0" numFmtId="0" xfId="0" applyFont="1" applyAlignment="1">
      <alignment horizontal="center"/>
    </xf>
    <xf fontId="21" fillId="33" borderId="0" numFmtId="0" xfId="0" applyFont="1" applyFill="1" applyAlignment="1">
      <alignment horizontal="center"/>
    </xf>
    <xf fontId="21" fillId="0" borderId="0" numFmtId="0" xfId="0" applyFont="1" applyAlignment="1">
      <alignment horizontal="center" vertical="center"/>
    </xf>
    <xf fontId="22" fillId="0" borderId="0" numFmtId="0" xfId="0" applyFont="1" applyAlignment="1">
      <alignment horizontal="center" vertical="center"/>
    </xf>
    <xf fontId="23" fillId="34" borderId="9" numFmtId="49" xfId="0" applyNumberFormat="1" applyFont="1" applyFill="1" applyBorder="1" applyAlignment="1">
      <alignment horizontal="center" vertical="center" wrapText="1"/>
    </xf>
    <xf fontId="23" fillId="34" borderId="0" numFmtId="49" xfId="0" applyNumberFormat="1" applyFont="1" applyFill="1" applyAlignment="1">
      <alignment horizontal="center" vertical="center" wrapText="1"/>
    </xf>
    <xf fontId="23" fillId="0" borderId="10" numFmtId="49" xfId="0" applyNumberFormat="1" applyFont="1" applyBorder="1" applyAlignment="1">
      <alignment horizontal="center" vertical="center" wrapText="1"/>
    </xf>
    <xf fontId="23" fillId="0" borderId="11" numFmtId="49" xfId="0" applyNumberFormat="1" applyFont="1" applyBorder="1" applyAlignment="1">
      <alignment horizontal="center" vertical="center" wrapText="1"/>
    </xf>
    <xf fontId="23" fillId="34" borderId="9" numFmtId="0" xfId="0" applyFont="1" applyFill="1" applyBorder="1" applyAlignment="1">
      <alignment horizontal="center" vertical="center" wrapText="1"/>
    </xf>
    <xf fontId="23" fillId="34" borderId="9" numFmtId="164" xfId="1" applyNumberFormat="1" applyFont="1" applyFill="1" applyBorder="1" applyAlignment="1">
      <alignment horizontal="center" vertical="center" wrapText="1"/>
    </xf>
    <xf fontId="24" fillId="34" borderId="9" numFmtId="0" xfId="0" applyFont="1" applyFill="1" applyBorder="1" applyAlignment="1">
      <alignment horizontal="center" vertical="center" wrapText="1"/>
    </xf>
    <xf fontId="22" fillId="35" borderId="9" numFmtId="0" xfId="0" applyFont="1" applyFill="1" applyBorder="1" applyAlignment="1">
      <alignment horizontal="center" vertical="center"/>
    </xf>
    <xf fontId="22" fillId="35" borderId="0" numFmtId="0" xfId="0" applyFont="1" applyFill="1" applyAlignment="1">
      <alignment horizontal="center" vertical="center"/>
    </xf>
    <xf fontId="25" fillId="0" borderId="12" numFmtId="0" xfId="0" applyFont="1" applyBorder="1" applyAlignment="1">
      <alignment vertical="center"/>
    </xf>
    <xf fontId="25" fillId="0" borderId="12" numFmtId="15" xfId="0" applyNumberFormat="1" applyFont="1" applyBorder="1" applyAlignment="1">
      <alignment horizontal="right" vertical="center"/>
    </xf>
    <xf fontId="25" fillId="0" borderId="0" numFmtId="15" xfId="0" applyNumberFormat="1" applyFont="1" applyAlignment="1">
      <alignment horizontal="right" vertical="center"/>
    </xf>
    <xf fontId="25" fillId="0" borderId="0" numFmtId="49" xfId="0" applyNumberFormat="1" applyFont="1" applyAlignment="1">
      <alignment horizontal="left" vertical="center"/>
    </xf>
    <xf fontId="25" fillId="0" borderId="12" numFmtId="49" xfId="0" applyNumberFormat="1" applyFont="1" applyBorder="1" applyAlignment="1">
      <alignment horizontal="left" vertical="center"/>
    </xf>
    <xf fontId="25" fillId="0" borderId="12" numFmtId="0" xfId="0" applyFont="1" applyBorder="1"/>
    <xf fontId="25" fillId="0" borderId="12" numFmtId="168" xfId="1" applyNumberFormat="1" applyFont="1" applyBorder="1" applyAlignment="1">
      <alignment vertical="center"/>
    </xf>
    <xf fontId="25" fillId="0" borderId="12" numFmtId="168" xfId="1" applyNumberFormat="1" applyFont="1" applyBorder="1" applyAlignment="1">
      <alignment horizontal="center" vertical="center"/>
    </xf>
    <xf fontId="25" fillId="0" borderId="12" numFmtId="9" xfId="3" applyNumberFormat="1" applyFont="1" applyBorder="1" applyAlignment="1">
      <alignment horizontal="center" vertical="center"/>
    </xf>
    <xf fontId="25" fillId="0" borderId="12" numFmtId="164" xfId="0" applyNumberFormat="1" applyFont="1" applyBorder="1" applyAlignment="1">
      <alignment vertical="center"/>
    </xf>
    <xf fontId="25" fillId="0" borderId="12" numFmtId="164" xfId="1" applyNumberFormat="1" applyFont="1" applyBorder="1" applyAlignment="1">
      <alignment vertical="center"/>
    </xf>
    <xf fontId="25" fillId="0" borderId="12" numFmtId="168" xfId="0" applyNumberFormat="1" applyFont="1" applyBorder="1"/>
    <xf fontId="26" fillId="36" borderId="12" numFmtId="0" xfId="0" applyFont="1" applyFill="1" applyBorder="1" applyAlignment="1">
      <alignment horizontal="center"/>
    </xf>
    <xf fontId="27" fillId="35" borderId="12" numFmtId="0" xfId="0" applyFont="1" applyFill="1" applyBorder="1" applyAlignment="1">
      <alignment horizontal="center"/>
    </xf>
    <xf fontId="27" fillId="35" borderId="0" numFmtId="164" xfId="0" applyNumberFormat="1" applyFont="1" applyFill="1" applyAlignment="1">
      <alignment horizontal="center" vertical="center"/>
    </xf>
    <xf fontId="28" fillId="0" borderId="12" numFmtId="0" xfId="0" applyFont="1" applyBorder="1" applyAlignment="1">
      <alignment vertical="center"/>
    </xf>
    <xf fontId="25" fillId="0" borderId="12" numFmtId="0" xfId="0" applyFont="1" applyBorder="1" applyAlignment="1">
      <alignment horizontal="left" vertical="center"/>
    </xf>
    <xf fontId="25" fillId="0" borderId="12" numFmtId="1" xfId="1" applyNumberFormat="1" applyFont="1" applyBorder="1" applyAlignment="1">
      <alignment vertical="center"/>
    </xf>
    <xf fontId="25" fillId="0" borderId="12" numFmtId="1" xfId="0" applyNumberFormat="1" applyFont="1" applyBorder="1" applyAlignment="1">
      <alignment vertical="center"/>
    </xf>
    <xf fontId="20" fillId="0" borderId="13" numFmtId="0" xfId="0" applyFont="1" applyBorder="1"/>
    <xf fontId="25" fillId="0" borderId="0" numFmtId="15" xfId="0" applyNumberFormat="1" applyFont="1" applyAlignment="1">
      <alignment horizontal="right" vertical="center" wrapText="1"/>
    </xf>
    <xf fontId="25" fillId="0" borderId="14" numFmtId="0" xfId="0" applyFont="1" applyBorder="1" applyAlignment="1">
      <alignment vertical="center"/>
    </xf>
    <xf fontId="25" fillId="0" borderId="14" numFmtId="15" xfId="0" applyNumberFormat="1" applyFont="1" applyBorder="1" applyAlignment="1">
      <alignment horizontal="right" vertical="center"/>
    </xf>
    <xf fontId="25" fillId="0" borderId="14" numFmtId="49" xfId="0" applyNumberFormat="1" applyFont="1" applyBorder="1" applyAlignment="1">
      <alignment horizontal="left" vertical="center"/>
    </xf>
    <xf fontId="28" fillId="0" borderId="14" numFmtId="0" xfId="0" applyFont="1" applyBorder="1" applyAlignment="1">
      <alignment vertical="center"/>
    </xf>
    <xf fontId="25" fillId="0" borderId="14" numFmtId="0" xfId="0" applyFont="1" applyBorder="1"/>
    <xf fontId="25" fillId="0" borderId="14" numFmtId="168" xfId="1" applyNumberFormat="1" applyFont="1" applyBorder="1" applyAlignment="1">
      <alignment vertical="center"/>
    </xf>
    <xf fontId="25" fillId="0" borderId="14" numFmtId="168" xfId="1" applyNumberFormat="1" applyFont="1" applyBorder="1" applyAlignment="1">
      <alignment horizontal="center" vertical="center"/>
    </xf>
    <xf fontId="25" fillId="0" borderId="14" numFmtId="9" xfId="3" applyNumberFormat="1" applyFont="1" applyBorder="1" applyAlignment="1">
      <alignment horizontal="center" vertical="center"/>
    </xf>
    <xf fontId="25" fillId="0" borderId="14" numFmtId="164" xfId="1" applyNumberFormat="1" applyFont="1" applyBorder="1" applyAlignment="1">
      <alignment vertical="center"/>
    </xf>
    <xf fontId="25" fillId="0" borderId="14" numFmtId="168" xfId="0" applyNumberFormat="1" applyFont="1" applyBorder="1"/>
    <xf fontId="26" fillId="36" borderId="14" numFmtId="0" xfId="0" applyFont="1" applyFill="1" applyBorder="1" applyAlignment="1">
      <alignment horizontal="center"/>
    </xf>
    <xf fontId="27" fillId="35" borderId="14" numFmtId="0" xfId="0" applyFont="1" applyFill="1" applyBorder="1" applyAlignment="1">
      <alignment horizontal="center"/>
    </xf>
    <xf fontId="27" fillId="35" borderId="15" numFmtId="164" xfId="0" applyNumberFormat="1" applyFont="1" applyFill="1" applyBorder="1" applyAlignment="1">
      <alignment horizontal="center" vertical="center"/>
    </xf>
    <xf fontId="20" fillId="0" borderId="0" numFmtId="168" xfId="1" applyNumberFormat="1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1">
    <tabColor theme="1"/>
    <outlinePr applyStyles="0" summaryBelow="1" summaryRight="1" showOutlineSymbols="1"/>
    <pageSetUpPr autoPageBreaks="1" fitToPage="0"/>
  </sheetPr>
  <sheetViews>
    <sheetView topLeftCell="AP1" zoomScale="156" workbookViewId="0">
      <selection activeCell="BN2" activeCellId="0" sqref="BN2"/>
    </sheetView>
  </sheetViews>
  <sheetFormatPr defaultColWidth="11" defaultRowHeight="16.5"/>
  <cols>
    <col customWidth="1" min="1" max="1" style="2" width="5.1666666666666696"/>
    <col customWidth="1" min="2" max="3" style="2" width="14.25"/>
    <col customWidth="1" min="4" max="4" style="2" width="28.3333333333333"/>
    <col customWidth="1" min="5" max="5" style="2" width="13.5"/>
    <col customWidth="1" min="6" max="6" style="2" width="19.3333333333333"/>
    <col customWidth="1" min="7" max="7" style="2" width="14.8333333333333"/>
    <col customWidth="1" min="8" max="8" style="2" width="7.6666666666666696"/>
    <col customWidth="1" min="9" max="9" style="3" width="7.1666666666666696"/>
    <col customWidth="1" min="10" max="10" style="3" width="7"/>
    <col customWidth="1" min="11" max="11" style="2" width="9.3333333333333304"/>
    <col customWidth="1" min="12" max="14" style="4" width="12.8333333333333"/>
    <col customWidth="1" min="15" max="15" style="4" width="10.1666666666667"/>
    <col customWidth="1" min="16" max="17" style="5" width="10.5"/>
    <col customWidth="1" min="18" max="18" style="4" width="11.5"/>
    <col customWidth="1" min="19" max="19" style="6" width="11.1666666666667"/>
    <col customWidth="1" min="20" max="20" style="6" width="7.8333333333333304"/>
    <col min="21" max="21" style="1" width="10.8333333333333"/>
    <col customWidth="1" min="22" max="22" style="1" width="10.1666666666667"/>
    <col customWidth="1" min="23" max="23" style="1" width="18.1666666666667"/>
    <col min="24" max="25" style="1" width="10.8333333333333"/>
    <col customWidth="1" min="26" max="26" style="1" width="23.3333333333333"/>
    <col customWidth="1" min="27" max="29" style="1" width="15"/>
    <col min="30" max="45" style="1" width="10.8333333333333"/>
    <col customWidth="1" min="46" max="47" style="7" width="5.1666666666666696"/>
    <col customWidth="1" min="48" max="49" style="7" width="8"/>
    <col customWidth="1" min="50" max="52" style="7" width="5.1666666666666696"/>
    <col customWidth="1" min="53" max="53" style="7" width="8"/>
    <col customWidth="1" min="54" max="66" style="7" width="5.1666666666666696"/>
    <col customWidth="1" min="67" max="67" style="8" width="10.6666666666667"/>
    <col customWidth="1" min="68" max="68" style="9" width="14.6666666666667"/>
    <col min="69" max="16384" style="1" width="10.8333333333333"/>
  </cols>
  <sheetData>
    <row r="1" s="10" customFormat="1" ht="63">
      <c r="A1" s="11" t="s">
        <v>0</v>
      </c>
      <c r="B1" s="11" t="s">
        <v>1</v>
      </c>
      <c r="C1" s="12" t="s">
        <v>2</v>
      </c>
      <c r="D1" s="13" t="s">
        <v>3</v>
      </c>
      <c r="E1" s="14" t="s">
        <v>4</v>
      </c>
      <c r="F1" s="11" t="s">
        <v>5</v>
      </c>
      <c r="G1" s="11" t="s">
        <v>6</v>
      </c>
      <c r="H1" s="15" t="s">
        <v>7</v>
      </c>
      <c r="I1" s="15" t="s">
        <v>8</v>
      </c>
      <c r="J1" s="15" t="s">
        <v>9</v>
      </c>
      <c r="K1" s="11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6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5" t="s">
        <v>45</v>
      </c>
      <c r="AU1" s="15" t="s">
        <v>46</v>
      </c>
      <c r="AV1" s="15" t="s">
        <v>47</v>
      </c>
      <c r="AW1" s="15" t="s">
        <v>48</v>
      </c>
      <c r="AX1" s="15" t="s">
        <v>49</v>
      </c>
      <c r="AY1" s="15" t="s">
        <v>50</v>
      </c>
      <c r="AZ1" s="15" t="s">
        <v>51</v>
      </c>
      <c r="BA1" s="15" t="s">
        <v>52</v>
      </c>
      <c r="BB1" s="15" t="s">
        <v>53</v>
      </c>
      <c r="BC1" s="15" t="s">
        <v>54</v>
      </c>
      <c r="BD1" s="15" t="s">
        <v>55</v>
      </c>
      <c r="BE1" s="15" t="s">
        <v>56</v>
      </c>
      <c r="BF1" s="15" t="s">
        <v>57</v>
      </c>
      <c r="BG1" s="15" t="s">
        <v>58</v>
      </c>
      <c r="BH1" s="15" t="s">
        <v>59</v>
      </c>
      <c r="BI1" s="15" t="s">
        <v>60</v>
      </c>
      <c r="BJ1" s="15" t="s">
        <v>61</v>
      </c>
      <c r="BK1" s="15" t="s">
        <v>62</v>
      </c>
      <c r="BL1" s="15" t="s">
        <v>63</v>
      </c>
      <c r="BM1" s="15" t="s">
        <v>64</v>
      </c>
      <c r="BN1" s="15" t="s">
        <v>65</v>
      </c>
      <c r="BO1" s="18" t="s">
        <v>66</v>
      </c>
      <c r="BP1" s="19" t="s">
        <v>67</v>
      </c>
    </row>
    <row r="2">
      <c r="A2" s="20">
        <v>2018</v>
      </c>
      <c r="B2" s="21">
        <v>41899</v>
      </c>
      <c r="C2" s="22">
        <v>43101</v>
      </c>
      <c r="D2" s="23" t="s">
        <v>68</v>
      </c>
      <c r="E2" s="23" t="s">
        <v>69</v>
      </c>
      <c r="F2" s="24" t="s">
        <v>70</v>
      </c>
      <c r="G2" s="24" t="s">
        <v>71</v>
      </c>
      <c r="H2" s="20">
        <f>IF(ISNUMBER(MATCH(G2,#REF!,0)),1,0)</f>
        <v>0</v>
      </c>
      <c r="I2" s="25">
        <f>IF(ISNUMBER(MATCH(G2,#REF!,0)),1,0)</f>
        <v>0</v>
      </c>
      <c r="J2" s="25"/>
      <c r="K2" s="24" t="s">
        <v>72</v>
      </c>
      <c r="L2" s="26">
        <v>200000000</v>
      </c>
      <c r="M2" s="26">
        <v>80000000</v>
      </c>
      <c r="N2" s="26">
        <f t="shared" ref="N2:N18" si="0">L2-M2</f>
        <v>120000000</v>
      </c>
      <c r="O2" s="26"/>
      <c r="P2" s="27">
        <v>12000000</v>
      </c>
      <c r="Q2" s="28">
        <f t="shared" ref="Q2:Q22" si="1">IF(A2=2022,0.2,IF(K2="Mining",0.35,(IF(A2&lt;2020,0.24,0.2))))</f>
        <v>0.23999999999999999</v>
      </c>
      <c r="R2" s="29">
        <f t="shared" ref="R2:R22" si="2">IF(AND(N2&gt;=0,O2&gt;=0),(N2+O2)*Q2,"")</f>
        <v>28800000</v>
      </c>
      <c r="S2" s="30">
        <f t="shared" ref="S2:S22" si="3">IF(AND(N2&gt;=0,P2&lt;=R2),R2-P2,"")</f>
        <v>16800000</v>
      </c>
      <c r="T2" s="30"/>
      <c r="U2" s="21">
        <v>44927</v>
      </c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31">
        <f t="shared" ref="AO2:AO22" si="4">O2</f>
        <v>0</v>
      </c>
      <c r="AP2" s="25">
        <v>1.2</v>
      </c>
      <c r="AQ2" s="25">
        <v>2.5</v>
      </c>
      <c r="AR2" s="25">
        <v>15</v>
      </c>
      <c r="AS2" s="25"/>
      <c r="AT2" s="32">
        <f t="shared" ref="AT2:AT22" ca="1" si="5">IF(AND(AR2&gt;=6,AR2&lt;=50,AP2&lt;=1.5,AQ2&lt;=3,TODAY()-U2&lt;=1095),1,"")</f>
        <v>1</v>
      </c>
      <c r="AU2" s="32" t="str">
        <f t="shared" ref="AU2:AU22" ca="1" si="6">IF(AND(AR2&gt;=51,AR2&lt;=99,AP2&lt;=6,AQ2&lt;=6,TODAY()-U2&lt;=1095),2,"")</f>
        <v/>
      </c>
      <c r="AV2" s="32" t="str">
        <f t="shared" ref="AV2:AV22" ca="1" si="7">IF(AND(V2=1,TODAY()&gt;EDATE(B2,T2*12)),3,"")</f>
        <v/>
      </c>
      <c r="AW2" s="32" t="str">
        <f t="shared" ref="AW2:AW22" ca="1" si="8">IF(AND(W2=1,TODAY()&gt;EDATE(B2,T2*12)),4,"")</f>
        <v/>
      </c>
      <c r="AX2" s="32" t="str">
        <f t="shared" ref="AX2:AX22" ca="1" si="9">IF(AND(ISNUMBER(AS2),TODAY()&lt;=EDATE(AS2,48)),5,"")</f>
        <v/>
      </c>
      <c r="AY2" s="32" t="str">
        <f t="shared" ref="AY2:AY22" si="10">IF(AND(AR2&gt;=6,AR2&lt;=50,AP2&lt;=1.5,AQ2&lt;=3,AM2=1),6,"")</f>
        <v/>
      </c>
      <c r="AZ2" s="32" t="str">
        <f t="shared" ref="AZ2:AZ22" ca="1" si="11">IF(AND(H2=1,OR(AD2=1,AG2=1,AJ2=1,AK2=1,AL2=1),TODAY()&lt;=EDATE(B2,120)),7,"")</f>
        <v/>
      </c>
      <c r="BA2" s="32" t="str">
        <f t="shared" ref="BA2:BA22" ca="1" si="12">IF(AND(I2=1,OR(AD2=1,AG2=1,AJ2=1,AK2=1,AL2=1),TODAY()&lt;=EDATE(B2,48)),8,"")</f>
        <v/>
      </c>
      <c r="BB2" s="32" t="str">
        <f t="shared" ref="BB2:BB22" ca="1" si="13">IF(AND(ISNUMBER(AN2),AO2&gt;0,TODAY()&lt;=EDATE(AN2,12)),9,"")</f>
        <v/>
      </c>
      <c r="BC2" s="32" t="str">
        <f t="shared" ref="BC2:BC22" ca="1" si="14">IF(AND(H2=1,OR(AE2=1,AF2=1,AH2=1,AI2=1),TODAY()&lt;=EDATE(B2,180)),10,"")</f>
        <v/>
      </c>
      <c r="BD2" s="32" t="str">
        <f t="shared" ref="BD2:BD22" ca="1" si="15">IF(AND(I2=1,OR(AE2=1,AF2=1,AH2=1,AI2=1),TODAY()&lt;=EDATE(B2,112)),11,"")</f>
        <v/>
      </c>
      <c r="BE2" s="32" t="str">
        <f t="shared" ref="BE2:BE22" ca="1" si="16">IF(AND(H2=1,X2=1,Z2=1,TODAY()&lt;=EDATE(B2,192)),12,"")</f>
        <v/>
      </c>
      <c r="BF2" s="32" t="str">
        <f t="shared" ref="BF2:BF22" ca="1" si="17">IF(AND(H2=1,X2=1,Z2=1,TODAY()&gt;EDATE(B2,192),TODAY()&lt;=EDATE(B2,252)),13,"")</f>
        <v/>
      </c>
      <c r="BG2" s="32" t="str">
        <f t="shared" ref="BG2:BG22" ca="1" si="18">IF(AND(I2=1,X2=1,Z2=1,TODAY()&lt;=EDATE(B2,96)),14,"")</f>
        <v/>
      </c>
      <c r="BH2" s="32" t="str">
        <f t="shared" ref="BH2:BH22" ca="1" si="19">IF(AND(I2=1,X2=1,Z2=1,TODAY()&gt;EDATE(B2,96),TODAY()&lt;=EDATE(B2,156)),15,"")</f>
        <v/>
      </c>
      <c r="BI2" s="32" t="str">
        <f t="shared" ref="BI2:BI22" ca="1" si="20">IF(OR(AND(H2=1,Y2=1,OR(AD2=1,AG2=1,AJ2=1,AK2=1,AL2=1),TODAY()&lt;=EDATE(B2,12*12)),AND(I2=1,Y2=1,OR(AD2=1,AG2=1,AJ2=1,AK2=1,AL2=1),TODAY()&lt;=EDATE(B2,12*6)),AND(H2=1,Y2=1,OR(AE2=1,AF2=1,AH2=1,AI2=1),TODAY()&lt;=EDATE(B2,12*17)),AND(I2=1,Y2=1,OR(AE2=1,AF2=1,AH2=1,AI2=1),TODAY()&lt;=EDATE(B2,12*9))),16,"")</f>
        <v/>
      </c>
      <c r="BJ2" s="32" t="str">
        <f t="shared" ref="BJ2:BJ22" ca="1" si="21">IF(OR(AND(H2=1,Y2=1,OR(AF2=1,AH2=1,AI2=1),TODAY()&gt;EDATE(B2,12*17),TODAY()&lt;=EDATE(B2,12*22)),AND(I2=1,Y2=1,OR(AF2=1,AH2=1,AI2=1),TODAY()&gt;EDATE(B2,12*9),TODAY()&lt;=EDATE(B2,12*14)),AND(H2=1,Y2=1,AG2=1,TODAY()&gt;EDATE(B2,12*12),TODAY()&lt;=EDATE(B2,12*17)),AND(I2=1,Y2=1,AG2=1,TODAY()&gt;EDATE(B2,12*6),TODAY()&lt;=EDATE(B2,12*11))),17,"")</f>
        <v/>
      </c>
      <c r="BK2" s="32" t="str">
        <f t="shared" ref="BK2:BK22" si="22">IF(AA2=1,18,"")</f>
        <v/>
      </c>
      <c r="BL2" s="32" t="str">
        <f t="shared" ref="BL2:BL22" si="23">IF(AB2=1,19,"")</f>
        <v/>
      </c>
      <c r="BM2" s="32" t="str">
        <f t="shared" ref="BM2:BM22" si="24">IF(AC2=1,20,"")</f>
        <v/>
      </c>
      <c r="BN2" s="32" t="str">
        <f t="shared" ref="BN2:BN22" ca="1" si="25">IF(AND(S2&gt;0,COUNT(AT2:BM2)=0),"Other","")</f>
        <v/>
      </c>
      <c r="BO2" s="33" t="str">
        <f t="shared" ref="BO2:BO22" ca="1" si="26">IF(COUNTA(AT2:BN2)&gt;0,_xlfn.TEXTJOIN(", ",TRUE,AT2:BN2),"")</f>
        <v>1</v>
      </c>
      <c r="BP2" s="34">
        <f t="shared" ref="BP2:BP22" si="27">S2</f>
        <v>16800000</v>
      </c>
    </row>
    <row r="3">
      <c r="A3" s="20">
        <v>2020</v>
      </c>
      <c r="B3" s="21">
        <v>42995</v>
      </c>
      <c r="C3" s="22">
        <v>43831</v>
      </c>
      <c r="D3" s="23" t="s">
        <v>68</v>
      </c>
      <c r="E3" s="23" t="s">
        <v>69</v>
      </c>
      <c r="F3" s="24" t="s">
        <v>70</v>
      </c>
      <c r="G3" s="24" t="s">
        <v>71</v>
      </c>
      <c r="H3" s="20">
        <f>IF(ISNUMBER(MATCH(G3,#REF!,0)),1,0)</f>
        <v>0</v>
      </c>
      <c r="I3" s="25">
        <f>IF(ISNUMBER(MATCH(G3,#REF!,0)),1,0)</f>
        <v>0</v>
      </c>
      <c r="J3" s="25"/>
      <c r="K3" s="24" t="s">
        <v>72</v>
      </c>
      <c r="L3" s="26">
        <v>128000000</v>
      </c>
      <c r="M3" s="26">
        <v>89000000</v>
      </c>
      <c r="N3" s="26">
        <f t="shared" si="0"/>
        <v>39000000</v>
      </c>
      <c r="O3" s="26"/>
      <c r="P3" s="27">
        <v>2500000</v>
      </c>
      <c r="Q3" s="28">
        <f t="shared" si="1"/>
        <v>0.20000000000000001</v>
      </c>
      <c r="R3" s="29">
        <f t="shared" si="2"/>
        <v>7800000</v>
      </c>
      <c r="S3" s="30">
        <f t="shared" si="3"/>
        <v>5300000</v>
      </c>
      <c r="T3" s="30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>
        <v>1</v>
      </c>
      <c r="AK3" s="25"/>
      <c r="AL3" s="25"/>
      <c r="AM3" s="25"/>
      <c r="AN3" s="25"/>
      <c r="AO3" s="31">
        <f t="shared" si="4"/>
        <v>0</v>
      </c>
      <c r="AP3" s="25"/>
      <c r="AQ3" s="25"/>
      <c r="AR3" s="25"/>
      <c r="AS3" s="25"/>
      <c r="AT3" s="32" t="str">
        <f t="shared" ca="1" si="5"/>
        <v/>
      </c>
      <c r="AU3" s="32" t="str">
        <f t="shared" ca="1" si="6"/>
        <v/>
      </c>
      <c r="AV3" s="32" t="str">
        <f t="shared" ca="1" si="7"/>
        <v/>
      </c>
      <c r="AW3" s="32" t="str">
        <f t="shared" ca="1" si="8"/>
        <v/>
      </c>
      <c r="AX3" s="32" t="str">
        <f t="shared" ca="1" si="9"/>
        <v/>
      </c>
      <c r="AY3" s="32" t="str">
        <f t="shared" si="10"/>
        <v/>
      </c>
      <c r="AZ3" s="32" t="str">
        <f t="shared" ca="1" si="11"/>
        <v/>
      </c>
      <c r="BA3" s="32" t="str">
        <f t="shared" ca="1" si="12"/>
        <v/>
      </c>
      <c r="BB3" s="32" t="str">
        <f t="shared" ca="1" si="13"/>
        <v/>
      </c>
      <c r="BC3" s="32" t="str">
        <f t="shared" ca="1" si="14"/>
        <v/>
      </c>
      <c r="BD3" s="32" t="str">
        <f t="shared" ca="1" si="15"/>
        <v/>
      </c>
      <c r="BE3" s="32" t="str">
        <f t="shared" ca="1" si="16"/>
        <v/>
      </c>
      <c r="BF3" s="32" t="str">
        <f t="shared" ca="1" si="17"/>
        <v/>
      </c>
      <c r="BG3" s="32" t="str">
        <f t="shared" ca="1" si="18"/>
        <v/>
      </c>
      <c r="BH3" s="32" t="str">
        <f t="shared" ca="1" si="19"/>
        <v/>
      </c>
      <c r="BI3" s="32" t="str">
        <f t="shared" ca="1" si="20"/>
        <v/>
      </c>
      <c r="BJ3" s="32" t="str">
        <f t="shared" ca="1" si="21"/>
        <v/>
      </c>
      <c r="BK3" s="32" t="str">
        <f t="shared" si="22"/>
        <v/>
      </c>
      <c r="BL3" s="32" t="str">
        <f t="shared" si="23"/>
        <v/>
      </c>
      <c r="BM3" s="32" t="str">
        <f t="shared" si="24"/>
        <v/>
      </c>
      <c r="BN3" s="32" t="str">
        <f t="shared" ca="1" si="25"/>
        <v>Other</v>
      </c>
      <c r="BO3" s="33" t="str">
        <f t="shared" ca="1" si="26"/>
        <v>Other</v>
      </c>
      <c r="BP3" s="34">
        <f t="shared" si="27"/>
        <v>5300000</v>
      </c>
    </row>
    <row r="4">
      <c r="A4" s="20">
        <v>2018</v>
      </c>
      <c r="B4" s="21">
        <v>42934</v>
      </c>
      <c r="C4" s="22">
        <v>43101</v>
      </c>
      <c r="D4" s="23" t="s">
        <v>73</v>
      </c>
      <c r="E4" s="23" t="s">
        <v>74</v>
      </c>
      <c r="F4" s="24" t="s">
        <v>75</v>
      </c>
      <c r="G4" s="35" t="s">
        <v>76</v>
      </c>
      <c r="H4" s="20">
        <f>IF(ISNUMBER(MATCH(G4,#REF!,0)),1,0)</f>
        <v>0</v>
      </c>
      <c r="I4" s="25">
        <f>IF(ISNUMBER(MATCH(G4,#REF!,0)),1,0)</f>
        <v>0</v>
      </c>
      <c r="J4" s="25"/>
      <c r="K4" s="24" t="s">
        <v>72</v>
      </c>
      <c r="L4" s="26">
        <v>45000000</v>
      </c>
      <c r="M4" s="26">
        <v>52000000</v>
      </c>
      <c r="N4" s="26">
        <f t="shared" si="0"/>
        <v>-7000000</v>
      </c>
      <c r="O4" s="26"/>
      <c r="P4" s="27"/>
      <c r="Q4" s="28">
        <f t="shared" si="1"/>
        <v>0.23999999999999999</v>
      </c>
      <c r="R4" s="29" t="str">
        <f t="shared" si="2"/>
        <v/>
      </c>
      <c r="S4" s="30" t="str">
        <f t="shared" si="3"/>
        <v/>
      </c>
      <c r="T4" s="30"/>
      <c r="U4" s="21">
        <v>44835</v>
      </c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31">
        <f t="shared" si="4"/>
        <v>0</v>
      </c>
      <c r="AP4" s="25">
        <v>5.7999999999999998</v>
      </c>
      <c r="AQ4" s="25">
        <v>4.5</v>
      </c>
      <c r="AR4" s="25">
        <v>65</v>
      </c>
      <c r="AS4" s="25"/>
      <c r="AT4" s="32" t="str">
        <f t="shared" ca="1" si="5"/>
        <v/>
      </c>
      <c r="AU4" s="32" t="str">
        <f t="shared" ca="1" si="6"/>
        <v/>
      </c>
      <c r="AV4" s="32" t="str">
        <f t="shared" ca="1" si="7"/>
        <v/>
      </c>
      <c r="AW4" s="32" t="str">
        <f t="shared" ca="1" si="8"/>
        <v/>
      </c>
      <c r="AX4" s="32" t="str">
        <f t="shared" ca="1" si="9"/>
        <v/>
      </c>
      <c r="AY4" s="32" t="str">
        <f t="shared" si="10"/>
        <v/>
      </c>
      <c r="AZ4" s="32" t="str">
        <f t="shared" ca="1" si="11"/>
        <v/>
      </c>
      <c r="BA4" s="32" t="str">
        <f t="shared" ca="1" si="12"/>
        <v/>
      </c>
      <c r="BB4" s="32" t="str">
        <f t="shared" ca="1" si="13"/>
        <v/>
      </c>
      <c r="BC4" s="32" t="str">
        <f t="shared" ca="1" si="14"/>
        <v/>
      </c>
      <c r="BD4" s="32" t="str">
        <f t="shared" ca="1" si="15"/>
        <v/>
      </c>
      <c r="BE4" s="32" t="str">
        <f t="shared" ca="1" si="16"/>
        <v/>
      </c>
      <c r="BF4" s="32" t="str">
        <f t="shared" ca="1" si="17"/>
        <v/>
      </c>
      <c r="BG4" s="32" t="str">
        <f t="shared" ca="1" si="18"/>
        <v/>
      </c>
      <c r="BH4" s="32" t="str">
        <f t="shared" ca="1" si="19"/>
        <v/>
      </c>
      <c r="BI4" s="32" t="str">
        <f t="shared" ca="1" si="20"/>
        <v/>
      </c>
      <c r="BJ4" s="32" t="str">
        <f t="shared" ca="1" si="21"/>
        <v/>
      </c>
      <c r="BK4" s="32" t="str">
        <f t="shared" si="22"/>
        <v/>
      </c>
      <c r="BL4" s="32" t="str">
        <f t="shared" si="23"/>
        <v/>
      </c>
      <c r="BM4" s="32" t="str">
        <f t="shared" si="24"/>
        <v/>
      </c>
      <c r="BN4" s="32" t="str">
        <f t="shared" ca="1" si="25"/>
        <v>Other</v>
      </c>
      <c r="BO4" s="33" t="str">
        <f ca="1">IF(COUNTA(AT4:BN4)&gt;0,_xlfn.TEXTJOIN(", ",TRUE,AT4:BN4),"")</f>
        <v>Other</v>
      </c>
      <c r="BP4" s="34" t="str">
        <f t="shared" si="27"/>
        <v/>
      </c>
    </row>
    <row r="5">
      <c r="A5" s="20">
        <v>2019</v>
      </c>
      <c r="B5" s="21">
        <v>41479</v>
      </c>
      <c r="C5" s="22">
        <v>43466</v>
      </c>
      <c r="D5" s="23" t="s">
        <v>77</v>
      </c>
      <c r="E5" s="23" t="s">
        <v>78</v>
      </c>
      <c r="F5" s="20" t="s">
        <v>79</v>
      </c>
      <c r="G5" s="36"/>
      <c r="H5" s="20">
        <f>IF(ISNUMBER(MATCH(G5,#REF!,0)),1,0)</f>
        <v>0</v>
      </c>
      <c r="I5" s="25">
        <f>IF(ISNUMBER(MATCH(G5,#REF!,0)),1,0)</f>
        <v>0</v>
      </c>
      <c r="J5" s="25"/>
      <c r="K5" s="24" t="s">
        <v>72</v>
      </c>
      <c r="L5" s="26">
        <v>0</v>
      </c>
      <c r="M5" s="26">
        <v>500000</v>
      </c>
      <c r="N5" s="26">
        <f t="shared" si="0"/>
        <v>-500000</v>
      </c>
      <c r="O5" s="26"/>
      <c r="P5" s="27"/>
      <c r="Q5" s="28">
        <f t="shared" si="1"/>
        <v>0.23999999999999999</v>
      </c>
      <c r="R5" s="29" t="str">
        <f t="shared" si="2"/>
        <v/>
      </c>
      <c r="S5" s="30" t="str">
        <f t="shared" si="3"/>
        <v/>
      </c>
      <c r="T5" s="37">
        <v>10</v>
      </c>
      <c r="U5" s="25"/>
      <c r="V5" s="38">
        <v>1</v>
      </c>
      <c r="W5" s="38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31">
        <f t="shared" si="4"/>
        <v>0</v>
      </c>
      <c r="AP5" s="25"/>
      <c r="AQ5" s="25"/>
      <c r="AR5" s="25"/>
      <c r="AS5" s="25"/>
      <c r="AT5" s="32" t="str">
        <f t="shared" ca="1" si="5"/>
        <v/>
      </c>
      <c r="AU5" s="32" t="str">
        <f t="shared" ca="1" si="6"/>
        <v/>
      </c>
      <c r="AV5" s="32">
        <f t="shared" ca="1" si="7"/>
        <v>3</v>
      </c>
      <c r="AW5" s="32" t="str">
        <f t="shared" ca="1" si="8"/>
        <v/>
      </c>
      <c r="AX5" s="32" t="str">
        <f t="shared" ca="1" si="9"/>
        <v/>
      </c>
      <c r="AY5" s="32" t="str">
        <f t="shared" si="10"/>
        <v/>
      </c>
      <c r="AZ5" s="32" t="str">
        <f t="shared" ca="1" si="11"/>
        <v/>
      </c>
      <c r="BA5" s="32" t="str">
        <f t="shared" ca="1" si="12"/>
        <v/>
      </c>
      <c r="BB5" s="32" t="str">
        <f t="shared" ca="1" si="13"/>
        <v/>
      </c>
      <c r="BC5" s="32" t="str">
        <f t="shared" ca="1" si="14"/>
        <v/>
      </c>
      <c r="BD5" s="32" t="str">
        <f t="shared" ca="1" si="15"/>
        <v/>
      </c>
      <c r="BE5" s="32" t="str">
        <f t="shared" ca="1" si="16"/>
        <v/>
      </c>
      <c r="BF5" s="32" t="str">
        <f t="shared" ca="1" si="17"/>
        <v/>
      </c>
      <c r="BG5" s="32" t="str">
        <f t="shared" ca="1" si="18"/>
        <v/>
      </c>
      <c r="BH5" s="32" t="str">
        <f t="shared" ca="1" si="19"/>
        <v/>
      </c>
      <c r="BI5" s="32" t="str">
        <f t="shared" ca="1" si="20"/>
        <v/>
      </c>
      <c r="BJ5" s="32" t="str">
        <f t="shared" ca="1" si="21"/>
        <v/>
      </c>
      <c r="BK5" s="32" t="str">
        <f t="shared" si="22"/>
        <v/>
      </c>
      <c r="BL5" s="32" t="str">
        <f t="shared" si="23"/>
        <v/>
      </c>
      <c r="BM5" s="32" t="str">
        <f t="shared" si="24"/>
        <v/>
      </c>
      <c r="BN5" s="32" t="str">
        <f t="shared" ca="1" si="25"/>
        <v/>
      </c>
      <c r="BO5" s="33" t="str">
        <f t="shared" ca="1" si="26"/>
        <v>3</v>
      </c>
      <c r="BP5" s="34" t="str">
        <f t="shared" si="27"/>
        <v/>
      </c>
    </row>
    <row r="6">
      <c r="A6" s="20">
        <v>2018</v>
      </c>
      <c r="B6" s="21">
        <v>40843</v>
      </c>
      <c r="C6" s="22">
        <v>43101</v>
      </c>
      <c r="D6" s="23" t="s">
        <v>80</v>
      </c>
      <c r="E6" s="23" t="s">
        <v>81</v>
      </c>
      <c r="F6" s="24" t="s">
        <v>82</v>
      </c>
      <c r="G6" s="35" t="s">
        <v>83</v>
      </c>
      <c r="H6" s="20">
        <f>IF(ISNUMBER(MATCH(G6,#REF!,0)),1,0)</f>
        <v>0</v>
      </c>
      <c r="I6" s="25">
        <f>IF(ISNUMBER(MATCH(G6,#REF!,0)),1,0)</f>
        <v>0</v>
      </c>
      <c r="J6" s="25"/>
      <c r="K6" s="24" t="s">
        <v>72</v>
      </c>
      <c r="L6" s="26">
        <v>92000000</v>
      </c>
      <c r="M6" s="26">
        <v>7500000</v>
      </c>
      <c r="N6" s="26">
        <f t="shared" si="0"/>
        <v>84500000</v>
      </c>
      <c r="O6" s="26"/>
      <c r="P6" s="27">
        <v>19500000</v>
      </c>
      <c r="Q6" s="28">
        <f t="shared" si="1"/>
        <v>0.23999999999999999</v>
      </c>
      <c r="R6" s="29">
        <f t="shared" si="2"/>
        <v>20280000</v>
      </c>
      <c r="S6" s="30">
        <f t="shared" si="3"/>
        <v>780000</v>
      </c>
      <c r="T6" s="37">
        <v>10</v>
      </c>
      <c r="U6" s="25"/>
      <c r="V6" s="25"/>
      <c r="W6" s="25">
        <v>1</v>
      </c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31">
        <f t="shared" si="4"/>
        <v>0</v>
      </c>
      <c r="AP6" s="25"/>
      <c r="AQ6" s="25"/>
      <c r="AR6" s="25"/>
      <c r="AS6" s="25"/>
      <c r="AT6" s="32" t="str">
        <f t="shared" ca="1" si="5"/>
        <v/>
      </c>
      <c r="AU6" s="32" t="str">
        <f t="shared" ca="1" si="6"/>
        <v/>
      </c>
      <c r="AV6" s="32" t="str">
        <f t="shared" ca="1" si="7"/>
        <v/>
      </c>
      <c r="AW6" s="32">
        <f t="shared" ca="1" si="8"/>
        <v>4</v>
      </c>
      <c r="AX6" s="32" t="str">
        <f t="shared" ca="1" si="9"/>
        <v/>
      </c>
      <c r="AY6" s="32" t="str">
        <f t="shared" si="10"/>
        <v/>
      </c>
      <c r="AZ6" s="32" t="str">
        <f t="shared" ca="1" si="11"/>
        <v/>
      </c>
      <c r="BA6" s="32" t="str">
        <f t="shared" ca="1" si="12"/>
        <v/>
      </c>
      <c r="BB6" s="32" t="str">
        <f t="shared" ca="1" si="13"/>
        <v/>
      </c>
      <c r="BC6" s="32" t="str">
        <f t="shared" ca="1" si="14"/>
        <v/>
      </c>
      <c r="BD6" s="32" t="str">
        <f t="shared" ca="1" si="15"/>
        <v/>
      </c>
      <c r="BE6" s="32" t="str">
        <f t="shared" ca="1" si="16"/>
        <v/>
      </c>
      <c r="BF6" s="32" t="str">
        <f t="shared" ca="1" si="17"/>
        <v/>
      </c>
      <c r="BG6" s="32" t="str">
        <f t="shared" ca="1" si="18"/>
        <v/>
      </c>
      <c r="BH6" s="32" t="str">
        <f t="shared" ca="1" si="19"/>
        <v/>
      </c>
      <c r="BI6" s="32" t="str">
        <f t="shared" ca="1" si="20"/>
        <v/>
      </c>
      <c r="BJ6" s="32" t="str">
        <f t="shared" ca="1" si="21"/>
        <v/>
      </c>
      <c r="BK6" s="32" t="str">
        <f t="shared" si="22"/>
        <v/>
      </c>
      <c r="BL6" s="32" t="str">
        <f t="shared" si="23"/>
        <v/>
      </c>
      <c r="BM6" s="32" t="str">
        <f t="shared" si="24"/>
        <v/>
      </c>
      <c r="BN6" s="32" t="str">
        <f t="shared" ca="1" si="25"/>
        <v/>
      </c>
      <c r="BO6" s="33" t="str">
        <f t="shared" ca="1" si="26"/>
        <v>4</v>
      </c>
      <c r="BP6" s="34">
        <f t="shared" si="27"/>
        <v>780000</v>
      </c>
    </row>
    <row r="7" s="39" customFormat="1">
      <c r="A7" s="20">
        <v>2018</v>
      </c>
      <c r="B7" s="21">
        <v>43916</v>
      </c>
      <c r="C7" s="22">
        <v>43101</v>
      </c>
      <c r="D7" s="23" t="s">
        <v>84</v>
      </c>
      <c r="E7" s="23" t="s">
        <v>85</v>
      </c>
      <c r="F7" s="24" t="s">
        <v>82</v>
      </c>
      <c r="G7" s="36"/>
      <c r="H7" s="20">
        <f>IF(ISNUMBER(MATCH(G7,#REF!,0)),1,0)</f>
        <v>0</v>
      </c>
      <c r="I7" s="25">
        <v>1</v>
      </c>
      <c r="J7" s="25"/>
      <c r="K7" s="24" t="s">
        <v>86</v>
      </c>
      <c r="L7" s="26">
        <v>120000000</v>
      </c>
      <c r="M7" s="26">
        <v>27860000</v>
      </c>
      <c r="N7" s="26">
        <f t="shared" si="0"/>
        <v>92140000</v>
      </c>
      <c r="O7" s="26"/>
      <c r="P7" s="27">
        <v>24000000</v>
      </c>
      <c r="Q7" s="28">
        <f t="shared" si="1"/>
        <v>0.23999999999999999</v>
      </c>
      <c r="R7" s="29">
        <f t="shared" si="2"/>
        <v>22113600</v>
      </c>
      <c r="S7" s="30" t="str">
        <f t="shared" si="3"/>
        <v/>
      </c>
      <c r="T7" s="30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31">
        <f t="shared" si="4"/>
        <v>0</v>
      </c>
      <c r="AP7" s="25"/>
      <c r="AQ7" s="25"/>
      <c r="AR7" s="25"/>
      <c r="AS7" s="21">
        <v>44854</v>
      </c>
      <c r="AT7" s="32" t="str">
        <f t="shared" ca="1" si="5"/>
        <v/>
      </c>
      <c r="AU7" s="32" t="str">
        <f t="shared" ca="1" si="6"/>
        <v/>
      </c>
      <c r="AV7" s="32" t="str">
        <f t="shared" ca="1" si="7"/>
        <v/>
      </c>
      <c r="AW7" s="32" t="str">
        <f t="shared" ca="1" si="8"/>
        <v/>
      </c>
      <c r="AX7" s="32">
        <f t="shared" ca="1" si="9"/>
        <v>5</v>
      </c>
      <c r="AY7" s="32" t="str">
        <f t="shared" si="10"/>
        <v/>
      </c>
      <c r="AZ7" s="32" t="str">
        <f t="shared" ca="1" si="11"/>
        <v/>
      </c>
      <c r="BA7" s="32" t="str">
        <f t="shared" ca="1" si="12"/>
        <v/>
      </c>
      <c r="BB7" s="32" t="str">
        <f t="shared" ca="1" si="13"/>
        <v/>
      </c>
      <c r="BC7" s="32" t="str">
        <f t="shared" ca="1" si="14"/>
        <v/>
      </c>
      <c r="BD7" s="32" t="str">
        <f t="shared" ca="1" si="15"/>
        <v/>
      </c>
      <c r="BE7" s="32" t="str">
        <f t="shared" ca="1" si="16"/>
        <v/>
      </c>
      <c r="BF7" s="32" t="str">
        <f t="shared" ca="1" si="17"/>
        <v/>
      </c>
      <c r="BG7" s="32" t="str">
        <f t="shared" ca="1" si="18"/>
        <v/>
      </c>
      <c r="BH7" s="32" t="str">
        <f t="shared" ca="1" si="19"/>
        <v/>
      </c>
      <c r="BI7" s="32" t="str">
        <f t="shared" ca="1" si="20"/>
        <v/>
      </c>
      <c r="BJ7" s="32" t="str">
        <f t="shared" ca="1" si="21"/>
        <v/>
      </c>
      <c r="BK7" s="32" t="str">
        <f t="shared" si="22"/>
        <v/>
      </c>
      <c r="BL7" s="32" t="str">
        <f t="shared" si="23"/>
        <v/>
      </c>
      <c r="BM7" s="32" t="str">
        <f t="shared" si="24"/>
        <v/>
      </c>
      <c r="BN7" s="32" t="str">
        <f t="shared" ca="1" si="25"/>
        <v/>
      </c>
      <c r="BO7" s="33" t="str">
        <f t="shared" ca="1" si="26"/>
        <v>5</v>
      </c>
      <c r="BP7" s="34" t="str">
        <f t="shared" si="27"/>
        <v/>
      </c>
    </row>
    <row r="8" s="39" customFormat="1">
      <c r="A8" s="20">
        <v>2018</v>
      </c>
      <c r="B8" s="21">
        <v>44022</v>
      </c>
      <c r="C8" s="22">
        <v>43101</v>
      </c>
      <c r="D8" s="23" t="s">
        <v>87</v>
      </c>
      <c r="E8" s="23" t="s">
        <v>88</v>
      </c>
      <c r="F8" s="24" t="s">
        <v>82</v>
      </c>
      <c r="G8" s="35" t="s">
        <v>89</v>
      </c>
      <c r="H8" s="20">
        <f>IF(ISNUMBER(MATCH(G8,#REF!,0)),1,0)</f>
        <v>0</v>
      </c>
      <c r="I8" s="25">
        <f>IF(ISNUMBER(MATCH(G8,#REF!,0)),1,0)</f>
        <v>0</v>
      </c>
      <c r="J8" s="25"/>
      <c r="K8" s="24" t="s">
        <v>86</v>
      </c>
      <c r="L8" s="26">
        <v>3470000</v>
      </c>
      <c r="M8" s="26">
        <v>2100000</v>
      </c>
      <c r="N8" s="26">
        <f t="shared" si="0"/>
        <v>1370000</v>
      </c>
      <c r="O8" s="26"/>
      <c r="P8" s="27">
        <v>310000</v>
      </c>
      <c r="Q8" s="28">
        <f t="shared" si="1"/>
        <v>0.23999999999999999</v>
      </c>
      <c r="R8" s="29">
        <f t="shared" si="2"/>
        <v>328800</v>
      </c>
      <c r="S8" s="30">
        <f t="shared" si="3"/>
        <v>18800</v>
      </c>
      <c r="T8" s="30"/>
      <c r="U8" s="21">
        <v>44927</v>
      </c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>
        <v>1</v>
      </c>
      <c r="AN8" s="25"/>
      <c r="AO8" s="31">
        <f t="shared" si="4"/>
        <v>0</v>
      </c>
      <c r="AP8" s="25">
        <v>1.2</v>
      </c>
      <c r="AQ8" s="25">
        <v>2.5</v>
      </c>
      <c r="AR8" s="25">
        <v>20</v>
      </c>
      <c r="AS8" s="25"/>
      <c r="AT8" s="32">
        <f t="shared" ca="1" si="5"/>
        <v>1</v>
      </c>
      <c r="AU8" s="32" t="str">
        <f t="shared" ca="1" si="6"/>
        <v/>
      </c>
      <c r="AV8" s="32" t="str">
        <f t="shared" ca="1" si="7"/>
        <v/>
      </c>
      <c r="AW8" s="32" t="str">
        <f t="shared" ca="1" si="8"/>
        <v/>
      </c>
      <c r="AX8" s="32" t="str">
        <f t="shared" ca="1" si="9"/>
        <v/>
      </c>
      <c r="AY8" s="32">
        <f t="shared" si="10"/>
        <v>6</v>
      </c>
      <c r="AZ8" s="32" t="str">
        <f t="shared" ca="1" si="11"/>
        <v/>
      </c>
      <c r="BA8" s="32" t="str">
        <f t="shared" ca="1" si="12"/>
        <v/>
      </c>
      <c r="BB8" s="32" t="str">
        <f t="shared" ca="1" si="13"/>
        <v/>
      </c>
      <c r="BC8" s="32" t="str">
        <f t="shared" ca="1" si="14"/>
        <v/>
      </c>
      <c r="BD8" s="32" t="str">
        <f t="shared" ca="1" si="15"/>
        <v/>
      </c>
      <c r="BE8" s="32" t="str">
        <f t="shared" ca="1" si="16"/>
        <v/>
      </c>
      <c r="BF8" s="32" t="str">
        <f t="shared" ca="1" si="17"/>
        <v/>
      </c>
      <c r="BG8" s="32" t="str">
        <f t="shared" ca="1" si="18"/>
        <v/>
      </c>
      <c r="BH8" s="32" t="str">
        <f t="shared" ca="1" si="19"/>
        <v/>
      </c>
      <c r="BI8" s="32" t="str">
        <f t="shared" ca="1" si="20"/>
        <v/>
      </c>
      <c r="BJ8" s="32" t="str">
        <f t="shared" ca="1" si="21"/>
        <v/>
      </c>
      <c r="BK8" s="32" t="str">
        <f t="shared" si="22"/>
        <v/>
      </c>
      <c r="BL8" s="32" t="str">
        <f t="shared" si="23"/>
        <v/>
      </c>
      <c r="BM8" s="32" t="str">
        <f t="shared" si="24"/>
        <v/>
      </c>
      <c r="BN8" s="32" t="str">
        <f t="shared" ca="1" si="25"/>
        <v/>
      </c>
      <c r="BO8" s="33" t="str">
        <f t="shared" ca="1" si="26"/>
        <v xml:space="preserve">1, 6</v>
      </c>
      <c r="BP8" s="34">
        <f t="shared" si="27"/>
        <v>18800</v>
      </c>
    </row>
    <row r="9">
      <c r="A9" s="20">
        <v>2018</v>
      </c>
      <c r="B9" s="21">
        <v>43447</v>
      </c>
      <c r="C9" s="22">
        <v>43101</v>
      </c>
      <c r="D9" s="23" t="s">
        <v>90</v>
      </c>
      <c r="E9" s="23" t="s">
        <v>91</v>
      </c>
      <c r="F9" s="24" t="s">
        <v>82</v>
      </c>
      <c r="G9" s="35" t="s">
        <v>92</v>
      </c>
      <c r="H9" s="20">
        <v>1</v>
      </c>
      <c r="I9" s="25">
        <v>0</v>
      </c>
      <c r="J9" s="25"/>
      <c r="K9" s="24" t="s">
        <v>93</v>
      </c>
      <c r="L9" s="26">
        <v>0</v>
      </c>
      <c r="M9" s="26">
        <v>4000000</v>
      </c>
      <c r="N9" s="26">
        <f t="shared" si="0"/>
        <v>-4000000</v>
      </c>
      <c r="O9" s="26"/>
      <c r="P9" s="27">
        <v>0</v>
      </c>
      <c r="Q9" s="28">
        <f t="shared" si="1"/>
        <v>0.23999999999999999</v>
      </c>
      <c r="R9" s="29" t="str">
        <f t="shared" si="2"/>
        <v/>
      </c>
      <c r="S9" s="30" t="str">
        <f t="shared" si="3"/>
        <v/>
      </c>
      <c r="T9" s="30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>
        <v>1</v>
      </c>
      <c r="AH9" s="25"/>
      <c r="AI9" s="25"/>
      <c r="AJ9" s="25"/>
      <c r="AK9" s="25"/>
      <c r="AL9" s="25"/>
      <c r="AM9" s="25"/>
      <c r="AN9" s="25"/>
      <c r="AO9" s="31">
        <f t="shared" si="4"/>
        <v>0</v>
      </c>
      <c r="AP9" s="25"/>
      <c r="AQ9" s="25"/>
      <c r="AR9" s="25"/>
      <c r="AS9" s="25"/>
      <c r="AT9" s="32" t="str">
        <f t="shared" ca="1" si="5"/>
        <v/>
      </c>
      <c r="AU9" s="32" t="str">
        <f t="shared" ca="1" si="6"/>
        <v/>
      </c>
      <c r="AV9" s="32" t="str">
        <f t="shared" ca="1" si="7"/>
        <v/>
      </c>
      <c r="AW9" s="32" t="str">
        <f t="shared" ca="1" si="8"/>
        <v/>
      </c>
      <c r="AX9" s="32" t="str">
        <f t="shared" ca="1" si="9"/>
        <v/>
      </c>
      <c r="AY9" s="32" t="str">
        <f t="shared" si="10"/>
        <v/>
      </c>
      <c r="AZ9" s="32">
        <f t="shared" ca="1" si="11"/>
        <v>7</v>
      </c>
      <c r="BA9" s="32" t="str">
        <f t="shared" ca="1" si="12"/>
        <v/>
      </c>
      <c r="BB9" s="32" t="str">
        <f t="shared" ca="1" si="13"/>
        <v/>
      </c>
      <c r="BC9" s="32" t="str">
        <f t="shared" ca="1" si="14"/>
        <v/>
      </c>
      <c r="BD9" s="32" t="str">
        <f t="shared" ca="1" si="15"/>
        <v/>
      </c>
      <c r="BE9" s="32" t="str">
        <f t="shared" ca="1" si="16"/>
        <v/>
      </c>
      <c r="BF9" s="32" t="str">
        <f t="shared" ca="1" si="17"/>
        <v/>
      </c>
      <c r="BG9" s="32" t="str">
        <f t="shared" ca="1" si="18"/>
        <v/>
      </c>
      <c r="BH9" s="32" t="str">
        <f t="shared" ca="1" si="19"/>
        <v/>
      </c>
      <c r="BI9" s="32" t="str">
        <f t="shared" ca="1" si="20"/>
        <v/>
      </c>
      <c r="BJ9" s="32" t="str">
        <f t="shared" ca="1" si="21"/>
        <v/>
      </c>
      <c r="BK9" s="32" t="str">
        <f t="shared" si="22"/>
        <v/>
      </c>
      <c r="BL9" s="32" t="str">
        <f t="shared" si="23"/>
        <v/>
      </c>
      <c r="BM9" s="32" t="str">
        <f t="shared" si="24"/>
        <v/>
      </c>
      <c r="BN9" s="32" t="str">
        <f t="shared" ca="1" si="25"/>
        <v/>
      </c>
      <c r="BO9" s="33" t="str">
        <f t="shared" ca="1" si="26"/>
        <v>7</v>
      </c>
      <c r="BP9" s="34" t="str">
        <f t="shared" si="27"/>
        <v/>
      </c>
    </row>
    <row r="10">
      <c r="A10" s="20">
        <v>2019</v>
      </c>
      <c r="B10" s="21">
        <v>44604</v>
      </c>
      <c r="C10" s="22">
        <v>43466</v>
      </c>
      <c r="D10" s="23" t="s">
        <v>94</v>
      </c>
      <c r="E10" s="23" t="s">
        <v>95</v>
      </c>
      <c r="F10" s="24" t="s">
        <v>82</v>
      </c>
      <c r="G10" s="35" t="s">
        <v>96</v>
      </c>
      <c r="H10" s="20">
        <v>0</v>
      </c>
      <c r="I10" s="25">
        <v>1</v>
      </c>
      <c r="J10" s="25"/>
      <c r="K10" s="24" t="s">
        <v>93</v>
      </c>
      <c r="L10" s="26">
        <v>12389000</v>
      </c>
      <c r="M10" s="26">
        <v>3288800</v>
      </c>
      <c r="N10" s="26">
        <f t="shared" si="0"/>
        <v>9100200</v>
      </c>
      <c r="O10" s="26"/>
      <c r="P10" s="27">
        <v>1500000</v>
      </c>
      <c r="Q10" s="28">
        <f t="shared" si="1"/>
        <v>0.23999999999999999</v>
      </c>
      <c r="R10" s="29">
        <f t="shared" si="2"/>
        <v>2184048</v>
      </c>
      <c r="S10" s="30">
        <f t="shared" si="3"/>
        <v>684048</v>
      </c>
      <c r="T10" s="30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>
        <v>1</v>
      </c>
      <c r="AK10" s="25"/>
      <c r="AL10" s="25"/>
      <c r="AM10" s="25"/>
      <c r="AN10" s="25"/>
      <c r="AO10" s="31">
        <f t="shared" si="4"/>
        <v>0</v>
      </c>
      <c r="AP10" s="25"/>
      <c r="AQ10" s="25"/>
      <c r="AR10" s="25"/>
      <c r="AS10" s="25"/>
      <c r="AT10" s="32" t="str">
        <f t="shared" ca="1" si="5"/>
        <v/>
      </c>
      <c r="AU10" s="32" t="str">
        <f t="shared" ca="1" si="6"/>
        <v/>
      </c>
      <c r="AV10" s="32" t="str">
        <f t="shared" ca="1" si="7"/>
        <v/>
      </c>
      <c r="AW10" s="32" t="str">
        <f t="shared" ca="1" si="8"/>
        <v/>
      </c>
      <c r="AX10" s="32" t="str">
        <f t="shared" ca="1" si="9"/>
        <v/>
      </c>
      <c r="AY10" s="32" t="str">
        <f t="shared" si="10"/>
        <v/>
      </c>
      <c r="AZ10" s="32" t="str">
        <f t="shared" ca="1" si="11"/>
        <v/>
      </c>
      <c r="BA10" s="32">
        <f t="shared" ca="1" si="12"/>
        <v>8</v>
      </c>
      <c r="BB10" s="32" t="str">
        <f t="shared" ca="1" si="13"/>
        <v/>
      </c>
      <c r="BC10" s="32" t="str">
        <f t="shared" ca="1" si="14"/>
        <v/>
      </c>
      <c r="BD10" s="32" t="str">
        <f t="shared" ca="1" si="15"/>
        <v/>
      </c>
      <c r="BE10" s="32" t="str">
        <f t="shared" ca="1" si="16"/>
        <v/>
      </c>
      <c r="BF10" s="32" t="str">
        <f t="shared" ca="1" si="17"/>
        <v/>
      </c>
      <c r="BG10" s="32" t="str">
        <f t="shared" ca="1" si="18"/>
        <v/>
      </c>
      <c r="BH10" s="32" t="str">
        <f t="shared" ca="1" si="19"/>
        <v/>
      </c>
      <c r="BI10" s="32" t="str">
        <f t="shared" ca="1" si="20"/>
        <v/>
      </c>
      <c r="BJ10" s="32" t="str">
        <f t="shared" ca="1" si="21"/>
        <v/>
      </c>
      <c r="BK10" s="32" t="str">
        <f t="shared" si="22"/>
        <v/>
      </c>
      <c r="BL10" s="32" t="str">
        <f t="shared" si="23"/>
        <v/>
      </c>
      <c r="BM10" s="32" t="str">
        <f t="shared" si="24"/>
        <v/>
      </c>
      <c r="BN10" s="32" t="str">
        <f t="shared" ca="1" si="25"/>
        <v/>
      </c>
      <c r="BO10" s="33" t="str">
        <f t="shared" ca="1" si="26"/>
        <v>8</v>
      </c>
      <c r="BP10" s="34">
        <f t="shared" si="27"/>
        <v>684048</v>
      </c>
    </row>
    <row r="11">
      <c r="A11" s="20">
        <v>2022</v>
      </c>
      <c r="B11" s="21">
        <v>44574</v>
      </c>
      <c r="C11" s="22">
        <v>44562</v>
      </c>
      <c r="D11" s="23" t="s">
        <v>97</v>
      </c>
      <c r="E11" s="23" t="s">
        <v>98</v>
      </c>
      <c r="F11" s="24" t="s">
        <v>82</v>
      </c>
      <c r="G11" s="35" t="s">
        <v>92</v>
      </c>
      <c r="H11" s="20">
        <f>IF(ISNUMBER(MATCH(G11,#REF!,0)),1,0)</f>
        <v>0</v>
      </c>
      <c r="I11" s="25">
        <f>IF(ISNUMBER(MATCH(G11,#REF!,0)),1,0)</f>
        <v>0</v>
      </c>
      <c r="J11" s="25"/>
      <c r="K11" s="24" t="s">
        <v>99</v>
      </c>
      <c r="L11" s="26">
        <v>730000000</v>
      </c>
      <c r="M11" s="26">
        <v>543000000</v>
      </c>
      <c r="N11" s="26">
        <f t="shared" si="0"/>
        <v>187000000</v>
      </c>
      <c r="O11" s="26">
        <v>100000000</v>
      </c>
      <c r="P11" s="27">
        <v>25000000</v>
      </c>
      <c r="Q11" s="28">
        <f t="shared" si="1"/>
        <v>0.20000000000000001</v>
      </c>
      <c r="R11" s="29">
        <f t="shared" si="2"/>
        <v>57400000</v>
      </c>
      <c r="S11" s="30">
        <f t="shared" si="3"/>
        <v>32400000</v>
      </c>
      <c r="T11" s="30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1">
        <v>45658</v>
      </c>
      <c r="AO11" s="31">
        <f t="shared" si="4"/>
        <v>100000000</v>
      </c>
      <c r="AP11" s="25"/>
      <c r="AQ11" s="25"/>
      <c r="AR11" s="25"/>
      <c r="AS11" s="25"/>
      <c r="AT11" s="32" t="str">
        <f t="shared" ca="1" si="5"/>
        <v/>
      </c>
      <c r="AU11" s="32" t="str">
        <f t="shared" ca="1" si="6"/>
        <v/>
      </c>
      <c r="AV11" s="32" t="str">
        <f t="shared" ca="1" si="7"/>
        <v/>
      </c>
      <c r="AW11" s="32" t="str">
        <f t="shared" ca="1" si="8"/>
        <v/>
      </c>
      <c r="AX11" s="32" t="str">
        <f t="shared" ca="1" si="9"/>
        <v/>
      </c>
      <c r="AY11" s="32" t="str">
        <f t="shared" si="10"/>
        <v/>
      </c>
      <c r="AZ11" s="32" t="str">
        <f t="shared" ca="1" si="11"/>
        <v/>
      </c>
      <c r="BA11" s="32" t="str">
        <f t="shared" ca="1" si="12"/>
        <v/>
      </c>
      <c r="BB11" s="32">
        <f t="shared" ca="1" si="13"/>
        <v>9</v>
      </c>
      <c r="BC11" s="32" t="str">
        <f t="shared" ca="1" si="14"/>
        <v/>
      </c>
      <c r="BD11" s="32" t="str">
        <f t="shared" ca="1" si="15"/>
        <v/>
      </c>
      <c r="BE11" s="32" t="str">
        <f t="shared" ca="1" si="16"/>
        <v/>
      </c>
      <c r="BF11" s="32" t="str">
        <f t="shared" ca="1" si="17"/>
        <v/>
      </c>
      <c r="BG11" s="32" t="str">
        <f t="shared" ca="1" si="18"/>
        <v/>
      </c>
      <c r="BH11" s="32" t="str">
        <f t="shared" ca="1" si="19"/>
        <v/>
      </c>
      <c r="BI11" s="32" t="str">
        <f t="shared" ca="1" si="20"/>
        <v/>
      </c>
      <c r="BJ11" s="32" t="str">
        <f t="shared" ca="1" si="21"/>
        <v/>
      </c>
      <c r="BK11" s="32" t="str">
        <f t="shared" si="22"/>
        <v/>
      </c>
      <c r="BL11" s="32" t="str">
        <f t="shared" si="23"/>
        <v/>
      </c>
      <c r="BM11" s="32" t="str">
        <f t="shared" si="24"/>
        <v/>
      </c>
      <c r="BN11" s="32" t="str">
        <f t="shared" ca="1" si="25"/>
        <v/>
      </c>
      <c r="BO11" s="33" t="str">
        <f t="shared" ca="1" si="26"/>
        <v>9</v>
      </c>
      <c r="BP11" s="34">
        <f t="shared" si="27"/>
        <v>32400000</v>
      </c>
    </row>
    <row r="12">
      <c r="A12" s="20">
        <v>2018</v>
      </c>
      <c r="B12" s="21">
        <v>42267</v>
      </c>
      <c r="C12" s="22">
        <v>43101</v>
      </c>
      <c r="D12" s="23" t="s">
        <v>100</v>
      </c>
      <c r="E12" s="23" t="s">
        <v>101</v>
      </c>
      <c r="F12" s="24" t="s">
        <v>82</v>
      </c>
      <c r="G12" s="35" t="s">
        <v>92</v>
      </c>
      <c r="H12" s="25">
        <v>1</v>
      </c>
      <c r="I12" s="25">
        <v>0</v>
      </c>
      <c r="J12" s="25"/>
      <c r="K12" s="24" t="s">
        <v>102</v>
      </c>
      <c r="L12" s="26">
        <v>3460000</v>
      </c>
      <c r="M12" s="26">
        <v>2000000</v>
      </c>
      <c r="N12" s="26">
        <f t="shared" si="0"/>
        <v>1460000</v>
      </c>
      <c r="O12" s="26"/>
      <c r="P12" s="27">
        <v>150000</v>
      </c>
      <c r="Q12" s="28">
        <f t="shared" si="1"/>
        <v>0.23999999999999999</v>
      </c>
      <c r="R12" s="29">
        <f t="shared" si="2"/>
        <v>350400</v>
      </c>
      <c r="S12" s="30">
        <f t="shared" si="3"/>
        <v>200400</v>
      </c>
      <c r="T12" s="30"/>
      <c r="U12" s="25"/>
      <c r="V12" s="25"/>
      <c r="W12" s="25"/>
      <c r="X12" s="25">
        <v>1</v>
      </c>
      <c r="Y12" s="25"/>
      <c r="Z12" s="25">
        <v>1</v>
      </c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31">
        <f t="shared" si="4"/>
        <v>0</v>
      </c>
      <c r="AP12" s="25"/>
      <c r="AQ12" s="25"/>
      <c r="AR12" s="25"/>
      <c r="AS12" s="25"/>
      <c r="AT12" s="32" t="str">
        <f t="shared" ca="1" si="5"/>
        <v/>
      </c>
      <c r="AU12" s="32" t="str">
        <f t="shared" ca="1" si="6"/>
        <v/>
      </c>
      <c r="AV12" s="32" t="str">
        <f t="shared" ca="1" si="7"/>
        <v/>
      </c>
      <c r="AW12" s="32" t="str">
        <f t="shared" ca="1" si="8"/>
        <v/>
      </c>
      <c r="AX12" s="32" t="str">
        <f t="shared" ca="1" si="9"/>
        <v/>
      </c>
      <c r="AY12" s="32" t="str">
        <f t="shared" si="10"/>
        <v/>
      </c>
      <c r="AZ12" s="32" t="str">
        <f t="shared" ca="1" si="11"/>
        <v/>
      </c>
      <c r="BA12" s="32" t="str">
        <f t="shared" ca="1" si="12"/>
        <v/>
      </c>
      <c r="BB12" s="32" t="str">
        <f t="shared" ca="1" si="13"/>
        <v/>
      </c>
      <c r="BC12" s="32" t="str">
        <f t="shared" ca="1" si="14"/>
        <v/>
      </c>
      <c r="BD12" s="32" t="str">
        <f t="shared" ca="1" si="15"/>
        <v/>
      </c>
      <c r="BE12" s="32">
        <f t="shared" ca="1" si="16"/>
        <v>12</v>
      </c>
      <c r="BF12" s="32" t="str">
        <f t="shared" ca="1" si="17"/>
        <v/>
      </c>
      <c r="BG12" s="32" t="str">
        <f t="shared" ca="1" si="18"/>
        <v/>
      </c>
      <c r="BH12" s="32" t="str">
        <f t="shared" ca="1" si="19"/>
        <v/>
      </c>
      <c r="BI12" s="32" t="str">
        <f t="shared" ca="1" si="20"/>
        <v/>
      </c>
      <c r="BJ12" s="32" t="str">
        <f t="shared" ca="1" si="21"/>
        <v/>
      </c>
      <c r="BK12" s="32" t="str">
        <f t="shared" si="22"/>
        <v/>
      </c>
      <c r="BL12" s="32" t="str">
        <f t="shared" si="23"/>
        <v/>
      </c>
      <c r="BM12" s="32" t="str">
        <f t="shared" si="24"/>
        <v/>
      </c>
      <c r="BN12" s="32" t="str">
        <f t="shared" ca="1" si="25"/>
        <v/>
      </c>
      <c r="BO12" s="33" t="str">
        <f t="shared" ca="1" si="26"/>
        <v>12</v>
      </c>
      <c r="BP12" s="34">
        <f t="shared" si="27"/>
        <v>200400</v>
      </c>
    </row>
    <row r="13">
      <c r="A13" s="20">
        <v>2020</v>
      </c>
      <c r="B13" s="21">
        <v>39299</v>
      </c>
      <c r="C13" s="22">
        <v>43831</v>
      </c>
      <c r="D13" s="23" t="s">
        <v>103</v>
      </c>
      <c r="E13" s="23" t="s">
        <v>104</v>
      </c>
      <c r="F13" s="24" t="s">
        <v>82</v>
      </c>
      <c r="G13" s="35" t="s">
        <v>96</v>
      </c>
      <c r="H13" s="20">
        <v>1</v>
      </c>
      <c r="I13" s="25">
        <v>0</v>
      </c>
      <c r="J13" s="25"/>
      <c r="K13" s="24" t="s">
        <v>102</v>
      </c>
      <c r="L13" s="26">
        <v>129000000</v>
      </c>
      <c r="M13" s="26">
        <v>29000000</v>
      </c>
      <c r="N13" s="26">
        <f t="shared" si="0"/>
        <v>100000000</v>
      </c>
      <c r="O13" s="26"/>
      <c r="P13" s="26">
        <v>18900000</v>
      </c>
      <c r="Q13" s="28">
        <f t="shared" si="1"/>
        <v>0.20000000000000001</v>
      </c>
      <c r="R13" s="29">
        <f t="shared" si="2"/>
        <v>20000000</v>
      </c>
      <c r="S13" s="30">
        <f t="shared" si="3"/>
        <v>1100000</v>
      </c>
      <c r="T13" s="30"/>
      <c r="U13" s="25"/>
      <c r="V13" s="25"/>
      <c r="W13" s="25"/>
      <c r="X13" s="25">
        <v>1</v>
      </c>
      <c r="Y13" s="25"/>
      <c r="Z13" s="25">
        <v>1</v>
      </c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31">
        <f t="shared" si="4"/>
        <v>0</v>
      </c>
      <c r="AP13" s="25"/>
      <c r="AQ13" s="25"/>
      <c r="AR13" s="25"/>
      <c r="AS13" s="25"/>
      <c r="AT13" s="32" t="str">
        <f t="shared" ca="1" si="5"/>
        <v/>
      </c>
      <c r="AU13" s="32" t="str">
        <f t="shared" ca="1" si="6"/>
        <v/>
      </c>
      <c r="AV13" s="32" t="str">
        <f t="shared" ca="1" si="7"/>
        <v/>
      </c>
      <c r="AW13" s="32" t="str">
        <f t="shared" ca="1" si="8"/>
        <v/>
      </c>
      <c r="AX13" s="32" t="str">
        <f t="shared" ca="1" si="9"/>
        <v/>
      </c>
      <c r="AY13" s="32" t="str">
        <f t="shared" si="10"/>
        <v/>
      </c>
      <c r="AZ13" s="32" t="str">
        <f t="shared" ca="1" si="11"/>
        <v/>
      </c>
      <c r="BA13" s="32" t="str">
        <f t="shared" ca="1" si="12"/>
        <v/>
      </c>
      <c r="BB13" s="32" t="str">
        <f t="shared" ca="1" si="13"/>
        <v/>
      </c>
      <c r="BC13" s="32" t="str">
        <f t="shared" ca="1" si="14"/>
        <v/>
      </c>
      <c r="BD13" s="32" t="str">
        <f t="shared" ca="1" si="15"/>
        <v/>
      </c>
      <c r="BE13" s="32" t="str">
        <f t="shared" ca="1" si="16"/>
        <v/>
      </c>
      <c r="BF13" s="32">
        <f t="shared" ca="1" si="17"/>
        <v>13</v>
      </c>
      <c r="BG13" s="32" t="str">
        <f t="shared" ca="1" si="18"/>
        <v/>
      </c>
      <c r="BH13" s="32" t="str">
        <f t="shared" ca="1" si="19"/>
        <v/>
      </c>
      <c r="BI13" s="32" t="str">
        <f t="shared" ca="1" si="20"/>
        <v/>
      </c>
      <c r="BJ13" s="32" t="str">
        <f t="shared" ca="1" si="21"/>
        <v/>
      </c>
      <c r="BK13" s="32" t="str">
        <f t="shared" si="22"/>
        <v/>
      </c>
      <c r="BL13" s="32" t="str">
        <f t="shared" si="23"/>
        <v/>
      </c>
      <c r="BM13" s="32" t="str">
        <f t="shared" si="24"/>
        <v/>
      </c>
      <c r="BN13" s="32" t="str">
        <f t="shared" ca="1" si="25"/>
        <v/>
      </c>
      <c r="BO13" s="33" t="str">
        <f t="shared" ca="1" si="26"/>
        <v>13</v>
      </c>
      <c r="BP13" s="34">
        <f t="shared" si="27"/>
        <v>1100000</v>
      </c>
    </row>
    <row r="14">
      <c r="A14" s="20">
        <v>2018</v>
      </c>
      <c r="B14" s="21">
        <v>44088</v>
      </c>
      <c r="C14" s="22">
        <v>43101</v>
      </c>
      <c r="D14" s="23" t="s">
        <v>105</v>
      </c>
      <c r="E14" s="23" t="s">
        <v>106</v>
      </c>
      <c r="F14" s="24" t="s">
        <v>82</v>
      </c>
      <c r="G14" s="35" t="s">
        <v>107</v>
      </c>
      <c r="H14" s="20">
        <f>IF(ISNUMBER(MATCH(G14,#REF!,0)),1,0)</f>
        <v>0</v>
      </c>
      <c r="I14" s="25">
        <v>1</v>
      </c>
      <c r="J14" s="25"/>
      <c r="K14" s="24" t="s">
        <v>102</v>
      </c>
      <c r="L14" s="26">
        <v>378000000</v>
      </c>
      <c r="M14" s="26">
        <v>279000000</v>
      </c>
      <c r="N14" s="26">
        <f t="shared" si="0"/>
        <v>99000000</v>
      </c>
      <c r="O14" s="26"/>
      <c r="P14" s="27">
        <v>19000000</v>
      </c>
      <c r="Q14" s="28">
        <f t="shared" si="1"/>
        <v>0.23999999999999999</v>
      </c>
      <c r="R14" s="29">
        <f t="shared" si="2"/>
        <v>23760000</v>
      </c>
      <c r="S14" s="30">
        <f t="shared" si="3"/>
        <v>4760000</v>
      </c>
      <c r="T14" s="30"/>
      <c r="U14" s="25"/>
      <c r="V14" s="25"/>
      <c r="W14" s="25"/>
      <c r="X14" s="25">
        <v>1</v>
      </c>
      <c r="Y14" s="25"/>
      <c r="Z14" s="25">
        <v>1</v>
      </c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31">
        <f t="shared" si="4"/>
        <v>0</v>
      </c>
      <c r="AP14" s="25"/>
      <c r="AQ14" s="25"/>
      <c r="AR14" s="25"/>
      <c r="AS14" s="25"/>
      <c r="AT14" s="32" t="str">
        <f t="shared" ca="1" si="5"/>
        <v/>
      </c>
      <c r="AU14" s="32" t="str">
        <f t="shared" ca="1" si="6"/>
        <v/>
      </c>
      <c r="AV14" s="32" t="str">
        <f t="shared" ca="1" si="7"/>
        <v/>
      </c>
      <c r="AW14" s="32" t="str">
        <f t="shared" ca="1" si="8"/>
        <v/>
      </c>
      <c r="AX14" s="32" t="str">
        <f t="shared" ca="1" si="9"/>
        <v/>
      </c>
      <c r="AY14" s="32" t="str">
        <f t="shared" si="10"/>
        <v/>
      </c>
      <c r="AZ14" s="32" t="str">
        <f t="shared" ca="1" si="11"/>
        <v/>
      </c>
      <c r="BA14" s="32" t="str">
        <f t="shared" ca="1" si="12"/>
        <v/>
      </c>
      <c r="BB14" s="32" t="str">
        <f t="shared" ca="1" si="13"/>
        <v/>
      </c>
      <c r="BC14" s="32" t="str">
        <f t="shared" ca="1" si="14"/>
        <v/>
      </c>
      <c r="BD14" s="32" t="str">
        <f t="shared" ca="1" si="15"/>
        <v/>
      </c>
      <c r="BE14" s="32" t="str">
        <f t="shared" ca="1" si="16"/>
        <v/>
      </c>
      <c r="BF14" s="32" t="str">
        <f t="shared" ca="1" si="17"/>
        <v/>
      </c>
      <c r="BG14" s="32">
        <f t="shared" ca="1" si="18"/>
        <v>14</v>
      </c>
      <c r="BH14" s="32" t="str">
        <f t="shared" ca="1" si="19"/>
        <v/>
      </c>
      <c r="BI14" s="32" t="str">
        <f t="shared" ca="1" si="20"/>
        <v/>
      </c>
      <c r="BJ14" s="32" t="str">
        <f t="shared" ca="1" si="21"/>
        <v/>
      </c>
      <c r="BK14" s="32" t="str">
        <f t="shared" si="22"/>
        <v/>
      </c>
      <c r="BL14" s="32" t="str">
        <f t="shared" si="23"/>
        <v/>
      </c>
      <c r="BM14" s="32" t="str">
        <f t="shared" si="24"/>
        <v/>
      </c>
      <c r="BN14" s="32" t="str">
        <f t="shared" ca="1" si="25"/>
        <v/>
      </c>
      <c r="BO14" s="33" t="str">
        <f t="shared" ca="1" si="26"/>
        <v>14</v>
      </c>
      <c r="BP14" s="34">
        <f t="shared" si="27"/>
        <v>4760000</v>
      </c>
    </row>
    <row r="15">
      <c r="A15" s="20">
        <v>2021</v>
      </c>
      <c r="B15" s="21">
        <v>42426</v>
      </c>
      <c r="C15" s="22">
        <v>44197</v>
      </c>
      <c r="D15" s="23" t="s">
        <v>108</v>
      </c>
      <c r="E15" s="23" t="s">
        <v>109</v>
      </c>
      <c r="F15" s="24" t="s">
        <v>82</v>
      </c>
      <c r="G15" s="35" t="s">
        <v>110</v>
      </c>
      <c r="H15" s="20">
        <f>IF(ISNUMBER(MATCH(G15,#REF!,0)),1,0)</f>
        <v>0</v>
      </c>
      <c r="I15" s="25">
        <v>1</v>
      </c>
      <c r="J15" s="25"/>
      <c r="K15" s="24" t="s">
        <v>102</v>
      </c>
      <c r="L15" s="26">
        <v>4000000</v>
      </c>
      <c r="M15" s="26">
        <v>3000000</v>
      </c>
      <c r="N15" s="26">
        <f t="shared" si="0"/>
        <v>1000000</v>
      </c>
      <c r="O15" s="26"/>
      <c r="P15" s="26">
        <v>220000</v>
      </c>
      <c r="Q15" s="28">
        <f t="shared" si="1"/>
        <v>0.20000000000000001</v>
      </c>
      <c r="R15" s="29">
        <f t="shared" si="2"/>
        <v>200000</v>
      </c>
      <c r="S15" s="30" t="str">
        <f t="shared" si="3"/>
        <v/>
      </c>
      <c r="T15" s="30"/>
      <c r="U15" s="25"/>
      <c r="V15" s="25"/>
      <c r="W15" s="25"/>
      <c r="X15" s="25">
        <v>1</v>
      </c>
      <c r="Y15" s="25"/>
      <c r="Z15" s="25">
        <v>1</v>
      </c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31">
        <f t="shared" si="4"/>
        <v>0</v>
      </c>
      <c r="AP15" s="25"/>
      <c r="AQ15" s="25"/>
      <c r="AR15" s="25"/>
      <c r="AS15" s="25"/>
      <c r="AT15" s="32" t="str">
        <f t="shared" ca="1" si="5"/>
        <v/>
      </c>
      <c r="AU15" s="32" t="str">
        <f t="shared" ca="1" si="6"/>
        <v/>
      </c>
      <c r="AV15" s="32" t="str">
        <f t="shared" ca="1" si="7"/>
        <v/>
      </c>
      <c r="AW15" s="32" t="str">
        <f t="shared" ca="1" si="8"/>
        <v/>
      </c>
      <c r="AX15" s="32" t="str">
        <f t="shared" ca="1" si="9"/>
        <v/>
      </c>
      <c r="AY15" s="32" t="str">
        <f t="shared" si="10"/>
        <v/>
      </c>
      <c r="AZ15" s="32" t="str">
        <f t="shared" ca="1" si="11"/>
        <v/>
      </c>
      <c r="BA15" s="32" t="str">
        <f t="shared" ca="1" si="12"/>
        <v/>
      </c>
      <c r="BB15" s="32" t="str">
        <f t="shared" ca="1" si="13"/>
        <v/>
      </c>
      <c r="BC15" s="32" t="str">
        <f t="shared" ca="1" si="14"/>
        <v/>
      </c>
      <c r="BD15" s="32" t="str">
        <f t="shared" ca="1" si="15"/>
        <v/>
      </c>
      <c r="BE15" s="32" t="str">
        <f t="shared" ca="1" si="16"/>
        <v/>
      </c>
      <c r="BF15" s="32" t="str">
        <f t="shared" ca="1" si="17"/>
        <v/>
      </c>
      <c r="BG15" s="32" t="str">
        <f t="shared" ca="1" si="18"/>
        <v/>
      </c>
      <c r="BH15" s="32">
        <f t="shared" ca="1" si="19"/>
        <v>15</v>
      </c>
      <c r="BI15" s="32" t="str">
        <f t="shared" ca="1" si="20"/>
        <v/>
      </c>
      <c r="BJ15" s="32" t="str">
        <f t="shared" ca="1" si="21"/>
        <v/>
      </c>
      <c r="BK15" s="32" t="str">
        <f t="shared" si="22"/>
        <v/>
      </c>
      <c r="BL15" s="32" t="str">
        <f t="shared" si="23"/>
        <v/>
      </c>
      <c r="BM15" s="32" t="str">
        <f t="shared" si="24"/>
        <v/>
      </c>
      <c r="BN15" s="32" t="str">
        <f t="shared" ca="1" si="25"/>
        <v/>
      </c>
      <c r="BO15" s="33" t="str">
        <f t="shared" ca="1" si="26"/>
        <v>15</v>
      </c>
      <c r="BP15" s="34" t="str">
        <f t="shared" si="27"/>
        <v/>
      </c>
    </row>
    <row r="16">
      <c r="A16" s="20">
        <v>2018</v>
      </c>
      <c r="B16" s="21">
        <v>40970</v>
      </c>
      <c r="C16" s="22">
        <v>43101</v>
      </c>
      <c r="D16" s="23" t="s">
        <v>111</v>
      </c>
      <c r="E16" s="23" t="s">
        <v>112</v>
      </c>
      <c r="F16" s="24" t="s">
        <v>82</v>
      </c>
      <c r="G16" s="35" t="s">
        <v>110</v>
      </c>
      <c r="H16" s="20">
        <v>1</v>
      </c>
      <c r="I16" s="25">
        <v>0</v>
      </c>
      <c r="J16" s="25"/>
      <c r="K16" s="24" t="s">
        <v>102</v>
      </c>
      <c r="L16" s="26">
        <v>39000000</v>
      </c>
      <c r="M16" s="26">
        <v>28000000</v>
      </c>
      <c r="N16" s="26">
        <f t="shared" si="0"/>
        <v>11000000</v>
      </c>
      <c r="O16" s="26"/>
      <c r="P16" s="27">
        <v>1890000</v>
      </c>
      <c r="Q16" s="28">
        <f t="shared" si="1"/>
        <v>0.23999999999999999</v>
      </c>
      <c r="R16" s="29">
        <f t="shared" si="2"/>
        <v>2640000</v>
      </c>
      <c r="S16" s="30">
        <f t="shared" si="3"/>
        <v>750000</v>
      </c>
      <c r="T16" s="30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>
        <v>1</v>
      </c>
      <c r="AF16" s="25"/>
      <c r="AG16" s="25"/>
      <c r="AH16" s="25"/>
      <c r="AI16" s="25"/>
      <c r="AJ16" s="25"/>
      <c r="AK16" s="25"/>
      <c r="AL16" s="25"/>
      <c r="AM16" s="25"/>
      <c r="AN16" s="25"/>
      <c r="AO16" s="31">
        <f t="shared" si="4"/>
        <v>0</v>
      </c>
      <c r="AP16" s="25"/>
      <c r="AQ16" s="25"/>
      <c r="AR16" s="25"/>
      <c r="AS16" s="25"/>
      <c r="AT16" s="32" t="str">
        <f t="shared" ca="1" si="5"/>
        <v/>
      </c>
      <c r="AU16" s="32" t="str">
        <f t="shared" ca="1" si="6"/>
        <v/>
      </c>
      <c r="AV16" s="32" t="str">
        <f t="shared" ca="1" si="7"/>
        <v/>
      </c>
      <c r="AW16" s="32" t="str">
        <f t="shared" ca="1" si="8"/>
        <v/>
      </c>
      <c r="AX16" s="32" t="str">
        <f t="shared" ca="1" si="9"/>
        <v/>
      </c>
      <c r="AY16" s="32" t="str">
        <f t="shared" si="10"/>
        <v/>
      </c>
      <c r="AZ16" s="32" t="str">
        <f t="shared" ca="1" si="11"/>
        <v/>
      </c>
      <c r="BA16" s="32" t="str">
        <f t="shared" ca="1" si="12"/>
        <v/>
      </c>
      <c r="BB16" s="32" t="str">
        <f t="shared" ca="1" si="13"/>
        <v/>
      </c>
      <c r="BC16" s="32">
        <f t="shared" ca="1" si="14"/>
        <v>10</v>
      </c>
      <c r="BD16" s="32" t="str">
        <f t="shared" ca="1" si="15"/>
        <v/>
      </c>
      <c r="BE16" s="32" t="str">
        <f t="shared" ca="1" si="16"/>
        <v/>
      </c>
      <c r="BF16" s="32" t="str">
        <f t="shared" ca="1" si="17"/>
        <v/>
      </c>
      <c r="BG16" s="32" t="str">
        <f t="shared" ca="1" si="18"/>
        <v/>
      </c>
      <c r="BH16" s="32" t="str">
        <f t="shared" ca="1" si="19"/>
        <v/>
      </c>
      <c r="BI16" s="32" t="str">
        <f t="shared" ca="1" si="20"/>
        <v/>
      </c>
      <c r="BJ16" s="32" t="str">
        <f t="shared" ca="1" si="21"/>
        <v/>
      </c>
      <c r="BK16" s="32" t="str">
        <f t="shared" si="22"/>
        <v/>
      </c>
      <c r="BL16" s="32" t="str">
        <f t="shared" si="23"/>
        <v/>
      </c>
      <c r="BM16" s="32" t="str">
        <f t="shared" si="24"/>
        <v/>
      </c>
      <c r="BN16" s="32" t="str">
        <f t="shared" ca="1" si="25"/>
        <v/>
      </c>
      <c r="BO16" s="33" t="str">
        <f t="shared" ca="1" si="26"/>
        <v>10</v>
      </c>
      <c r="BP16" s="34">
        <f t="shared" si="27"/>
        <v>750000</v>
      </c>
    </row>
    <row r="17">
      <c r="A17" s="20">
        <v>2018</v>
      </c>
      <c r="B17" s="21">
        <v>44459</v>
      </c>
      <c r="C17" s="22">
        <v>43101</v>
      </c>
      <c r="D17" s="23" t="s">
        <v>113</v>
      </c>
      <c r="E17" s="23" t="s">
        <v>114</v>
      </c>
      <c r="F17" s="24" t="s">
        <v>82</v>
      </c>
      <c r="G17" s="35" t="s">
        <v>110</v>
      </c>
      <c r="H17" s="20">
        <f>IF(ISNUMBER(MATCH(G17,#REF!,0)),1,0)</f>
        <v>0</v>
      </c>
      <c r="I17" s="25">
        <v>1</v>
      </c>
      <c r="J17" s="25"/>
      <c r="K17" s="24" t="s">
        <v>102</v>
      </c>
      <c r="L17" s="26">
        <v>4280799900</v>
      </c>
      <c r="M17" s="26">
        <v>3760000000</v>
      </c>
      <c r="N17" s="26">
        <f t="shared" si="0"/>
        <v>520799900</v>
      </c>
      <c r="O17" s="26"/>
      <c r="P17" s="27">
        <v>120000000</v>
      </c>
      <c r="Q17" s="28">
        <f t="shared" si="1"/>
        <v>0.23999999999999999</v>
      </c>
      <c r="R17" s="29">
        <f t="shared" si="2"/>
        <v>124991976</v>
      </c>
      <c r="S17" s="30">
        <f t="shared" si="3"/>
        <v>4991976</v>
      </c>
      <c r="T17" s="30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>
        <v>1</v>
      </c>
      <c r="AI17" s="25"/>
      <c r="AJ17" s="25"/>
      <c r="AK17" s="25"/>
      <c r="AL17" s="25"/>
      <c r="AM17" s="25"/>
      <c r="AN17" s="25"/>
      <c r="AO17" s="31">
        <f t="shared" si="4"/>
        <v>0</v>
      </c>
      <c r="AP17" s="25"/>
      <c r="AQ17" s="25"/>
      <c r="AR17" s="25"/>
      <c r="AS17" s="25"/>
      <c r="AT17" s="32" t="str">
        <f t="shared" ca="1" si="5"/>
        <v/>
      </c>
      <c r="AU17" s="32" t="str">
        <f t="shared" ca="1" si="6"/>
        <v/>
      </c>
      <c r="AV17" s="32" t="str">
        <f t="shared" ca="1" si="7"/>
        <v/>
      </c>
      <c r="AW17" s="32" t="str">
        <f t="shared" ca="1" si="8"/>
        <v/>
      </c>
      <c r="AX17" s="32" t="str">
        <f t="shared" ca="1" si="9"/>
        <v/>
      </c>
      <c r="AY17" s="32" t="str">
        <f t="shared" si="10"/>
        <v/>
      </c>
      <c r="AZ17" s="32" t="str">
        <f t="shared" ca="1" si="11"/>
        <v/>
      </c>
      <c r="BA17" s="32" t="str">
        <f t="shared" ca="1" si="12"/>
        <v/>
      </c>
      <c r="BB17" s="32" t="str">
        <f t="shared" ca="1" si="13"/>
        <v/>
      </c>
      <c r="BC17" s="32" t="str">
        <f t="shared" ca="1" si="14"/>
        <v/>
      </c>
      <c r="BD17" s="32">
        <f t="shared" ca="1" si="15"/>
        <v>11</v>
      </c>
      <c r="BE17" s="32" t="str">
        <f t="shared" ca="1" si="16"/>
        <v/>
      </c>
      <c r="BF17" s="32" t="str">
        <f t="shared" ca="1" si="17"/>
        <v/>
      </c>
      <c r="BG17" s="32" t="str">
        <f t="shared" ca="1" si="18"/>
        <v/>
      </c>
      <c r="BH17" s="32" t="str">
        <f t="shared" ca="1" si="19"/>
        <v/>
      </c>
      <c r="BI17" s="32" t="str">
        <f t="shared" ca="1" si="20"/>
        <v/>
      </c>
      <c r="BJ17" s="32" t="str">
        <f t="shared" ca="1" si="21"/>
        <v/>
      </c>
      <c r="BK17" s="32" t="str">
        <f t="shared" si="22"/>
        <v/>
      </c>
      <c r="BL17" s="32" t="str">
        <f t="shared" si="23"/>
        <v/>
      </c>
      <c r="BM17" s="32" t="str">
        <f t="shared" si="24"/>
        <v/>
      </c>
      <c r="BN17" s="32" t="str">
        <f t="shared" ca="1" si="25"/>
        <v/>
      </c>
      <c r="BO17" s="33" t="str">
        <f t="shared" ca="1" si="26"/>
        <v>11</v>
      </c>
      <c r="BP17" s="34">
        <f t="shared" si="27"/>
        <v>4991976</v>
      </c>
    </row>
    <row r="18">
      <c r="A18" s="20">
        <v>2018</v>
      </c>
      <c r="B18" s="21">
        <v>42005</v>
      </c>
      <c r="C18" s="22">
        <v>43101</v>
      </c>
      <c r="D18" s="23" t="s">
        <v>115</v>
      </c>
      <c r="E18" s="23" t="s">
        <v>116</v>
      </c>
      <c r="F18" s="24" t="s">
        <v>82</v>
      </c>
      <c r="G18" s="35" t="s">
        <v>110</v>
      </c>
      <c r="H18" s="20">
        <v>1</v>
      </c>
      <c r="I18" s="25">
        <v>0</v>
      </c>
      <c r="J18" s="25"/>
      <c r="K18" s="24" t="s">
        <v>102</v>
      </c>
      <c r="L18" s="26">
        <v>12000000</v>
      </c>
      <c r="M18" s="26">
        <v>0</v>
      </c>
      <c r="N18" s="26">
        <f t="shared" si="0"/>
        <v>12000000</v>
      </c>
      <c r="O18" s="26"/>
      <c r="P18" s="27">
        <v>1800000</v>
      </c>
      <c r="Q18" s="28">
        <f t="shared" si="1"/>
        <v>0.23999999999999999</v>
      </c>
      <c r="R18" s="29">
        <f t="shared" si="2"/>
        <v>2880000</v>
      </c>
      <c r="S18" s="30">
        <f t="shared" si="3"/>
        <v>1080000</v>
      </c>
      <c r="T18" s="30"/>
      <c r="U18" s="25"/>
      <c r="V18" s="25"/>
      <c r="W18" s="25"/>
      <c r="X18" s="25"/>
      <c r="Y18" s="25">
        <v>1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>
        <v>1</v>
      </c>
      <c r="AM18" s="25"/>
      <c r="AN18" s="25"/>
      <c r="AO18" s="31">
        <f t="shared" si="4"/>
        <v>0</v>
      </c>
      <c r="AP18" s="25"/>
      <c r="AQ18" s="25"/>
      <c r="AR18" s="25"/>
      <c r="AS18" s="25"/>
      <c r="AT18" s="32" t="str">
        <f t="shared" ca="1" si="5"/>
        <v/>
      </c>
      <c r="AU18" s="32" t="str">
        <f t="shared" ca="1" si="6"/>
        <v/>
      </c>
      <c r="AV18" s="32" t="str">
        <f t="shared" ca="1" si="7"/>
        <v/>
      </c>
      <c r="AW18" s="32" t="str">
        <f t="shared" ca="1" si="8"/>
        <v/>
      </c>
      <c r="AX18" s="32" t="str">
        <f t="shared" ca="1" si="9"/>
        <v/>
      </c>
      <c r="AY18" s="32" t="str">
        <f t="shared" si="10"/>
        <v/>
      </c>
      <c r="AZ18" s="32" t="str">
        <f t="shared" ca="1" si="11"/>
        <v/>
      </c>
      <c r="BA18" s="32" t="str">
        <f t="shared" ca="1" si="12"/>
        <v/>
      </c>
      <c r="BB18" s="32" t="str">
        <f t="shared" ca="1" si="13"/>
        <v/>
      </c>
      <c r="BC18" s="32" t="str">
        <f t="shared" ca="1" si="14"/>
        <v/>
      </c>
      <c r="BD18" s="32" t="str">
        <f t="shared" ca="1" si="15"/>
        <v/>
      </c>
      <c r="BE18" s="32" t="str">
        <f t="shared" ca="1" si="16"/>
        <v/>
      </c>
      <c r="BF18" s="32" t="str">
        <f t="shared" ca="1" si="17"/>
        <v/>
      </c>
      <c r="BG18" s="32" t="str">
        <f t="shared" ca="1" si="18"/>
        <v/>
      </c>
      <c r="BH18" s="32" t="str">
        <f t="shared" ca="1" si="19"/>
        <v/>
      </c>
      <c r="BI18" s="32">
        <f t="shared" ca="1" si="20"/>
        <v>16</v>
      </c>
      <c r="BJ18" s="32" t="str">
        <f t="shared" ca="1" si="21"/>
        <v/>
      </c>
      <c r="BK18" s="32" t="str">
        <f t="shared" si="22"/>
        <v/>
      </c>
      <c r="BL18" s="32" t="str">
        <f t="shared" si="23"/>
        <v/>
      </c>
      <c r="BM18" s="32" t="str">
        <f t="shared" si="24"/>
        <v/>
      </c>
      <c r="BN18" s="32" t="str">
        <f t="shared" ca="1" si="25"/>
        <v/>
      </c>
      <c r="BO18" s="33" t="str">
        <f t="shared" ca="1" si="26"/>
        <v>16</v>
      </c>
      <c r="BP18" s="34">
        <f t="shared" si="27"/>
        <v>1080000</v>
      </c>
    </row>
    <row r="19">
      <c r="A19" s="20">
        <v>2021</v>
      </c>
      <c r="B19" s="21">
        <v>42396</v>
      </c>
      <c r="C19" s="22">
        <v>44197</v>
      </c>
      <c r="D19" s="23" t="s">
        <v>117</v>
      </c>
      <c r="E19" s="23" t="s">
        <v>118</v>
      </c>
      <c r="F19" s="24" t="s">
        <v>82</v>
      </c>
      <c r="G19" s="35" t="s">
        <v>107</v>
      </c>
      <c r="H19" s="20">
        <f>IF(ISNUMBER(MATCH(G19,#REF!,0)),1,0)</f>
        <v>0</v>
      </c>
      <c r="I19" s="25">
        <v>1</v>
      </c>
      <c r="J19" s="25"/>
      <c r="K19" s="24" t="s">
        <v>102</v>
      </c>
      <c r="L19" s="26">
        <v>5380585000</v>
      </c>
      <c r="M19" s="26">
        <v>5000585000</v>
      </c>
      <c r="N19" s="26">
        <v>380000000</v>
      </c>
      <c r="O19" s="26"/>
      <c r="P19" s="27">
        <v>50000000</v>
      </c>
      <c r="Q19" s="28">
        <f t="shared" si="1"/>
        <v>0.20000000000000001</v>
      </c>
      <c r="R19" s="29">
        <f t="shared" si="2"/>
        <v>76000000</v>
      </c>
      <c r="S19" s="30">
        <f t="shared" si="3"/>
        <v>26000000</v>
      </c>
      <c r="T19" s="30"/>
      <c r="U19" s="25"/>
      <c r="V19" s="25"/>
      <c r="W19" s="25"/>
      <c r="X19" s="25"/>
      <c r="Y19" s="25">
        <v>1</v>
      </c>
      <c r="Z19" s="25"/>
      <c r="AA19" s="25"/>
      <c r="AB19" s="25"/>
      <c r="AC19" s="25"/>
      <c r="AD19" s="25"/>
      <c r="AE19" s="25"/>
      <c r="AF19" s="25">
        <v>1</v>
      </c>
      <c r="AG19" s="25"/>
      <c r="AH19" s="25"/>
      <c r="AI19" s="25"/>
      <c r="AJ19" s="25"/>
      <c r="AK19" s="25"/>
      <c r="AL19" s="25"/>
      <c r="AM19" s="25"/>
      <c r="AN19" s="25"/>
      <c r="AO19" s="31">
        <f t="shared" si="4"/>
        <v>0</v>
      </c>
      <c r="AP19" s="25"/>
      <c r="AQ19" s="25"/>
      <c r="AR19" s="25"/>
      <c r="AS19" s="25"/>
      <c r="AT19" s="32" t="str">
        <f t="shared" ca="1" si="5"/>
        <v/>
      </c>
      <c r="AU19" s="32" t="str">
        <f t="shared" ca="1" si="6"/>
        <v/>
      </c>
      <c r="AV19" s="32" t="str">
        <f t="shared" ca="1" si="7"/>
        <v/>
      </c>
      <c r="AW19" s="32" t="str">
        <f t="shared" ca="1" si="8"/>
        <v/>
      </c>
      <c r="AX19" s="32" t="str">
        <f t="shared" ca="1" si="9"/>
        <v/>
      </c>
      <c r="AY19" s="32" t="str">
        <f t="shared" si="10"/>
        <v/>
      </c>
      <c r="AZ19" s="32" t="str">
        <f t="shared" ca="1" si="11"/>
        <v/>
      </c>
      <c r="BA19" s="32" t="str">
        <f t="shared" ca="1" si="12"/>
        <v/>
      </c>
      <c r="BB19" s="32" t="str">
        <f t="shared" ca="1" si="13"/>
        <v/>
      </c>
      <c r="BC19" s="32" t="str">
        <f t="shared" ca="1" si="14"/>
        <v/>
      </c>
      <c r="BD19" s="32" t="str">
        <f t="shared" ca="1" si="15"/>
        <v/>
      </c>
      <c r="BE19" s="32" t="str">
        <f t="shared" ca="1" si="16"/>
        <v/>
      </c>
      <c r="BF19" s="32" t="str">
        <f t="shared" ca="1" si="17"/>
        <v/>
      </c>
      <c r="BG19" s="32" t="str">
        <f t="shared" ca="1" si="18"/>
        <v/>
      </c>
      <c r="BH19" s="32" t="str">
        <f t="shared" ca="1" si="19"/>
        <v/>
      </c>
      <c r="BI19" s="32" t="str">
        <f t="shared" ca="1" si="20"/>
        <v/>
      </c>
      <c r="BJ19" s="32">
        <f t="shared" ca="1" si="21"/>
        <v>17</v>
      </c>
      <c r="BK19" s="32" t="str">
        <f t="shared" si="22"/>
        <v/>
      </c>
      <c r="BL19" s="32" t="str">
        <f t="shared" si="23"/>
        <v/>
      </c>
      <c r="BM19" s="32" t="str">
        <f t="shared" si="24"/>
        <v/>
      </c>
      <c r="BN19" s="32" t="str">
        <f t="shared" ca="1" si="25"/>
        <v/>
      </c>
      <c r="BO19" s="33" t="str">
        <f t="shared" ca="1" si="26"/>
        <v>17</v>
      </c>
      <c r="BP19" s="34">
        <f t="shared" si="27"/>
        <v>26000000</v>
      </c>
    </row>
    <row r="20">
      <c r="A20" s="20">
        <v>2019</v>
      </c>
      <c r="B20" s="21">
        <v>44501</v>
      </c>
      <c r="C20" s="40">
        <v>43466</v>
      </c>
      <c r="D20" s="23" t="s">
        <v>119</v>
      </c>
      <c r="E20" s="23" t="s">
        <v>120</v>
      </c>
      <c r="F20" s="24" t="s">
        <v>82</v>
      </c>
      <c r="G20" s="35" t="s">
        <v>121</v>
      </c>
      <c r="H20" s="20">
        <f>IF(ISNUMBER(MATCH(G20,#REF!,0)),1,0)</f>
        <v>0</v>
      </c>
      <c r="I20" s="25">
        <f>IF(ISNUMBER(MATCH(G20,#REF!,0)),1,0)</f>
        <v>0</v>
      </c>
      <c r="J20" s="25"/>
      <c r="K20" s="24" t="s">
        <v>122</v>
      </c>
      <c r="L20" s="26">
        <v>51591311026</v>
      </c>
      <c r="M20" s="26">
        <v>4851167580</v>
      </c>
      <c r="N20" s="26">
        <v>307963522</v>
      </c>
      <c r="O20" s="26"/>
      <c r="P20" s="27">
        <v>52000000</v>
      </c>
      <c r="Q20" s="28">
        <f t="shared" si="1"/>
        <v>0.23999999999999999</v>
      </c>
      <c r="R20" s="29">
        <f t="shared" si="2"/>
        <v>73911245.280000001</v>
      </c>
      <c r="S20" s="30">
        <f t="shared" si="3"/>
        <v>21911245.280000001</v>
      </c>
      <c r="T20" s="30"/>
      <c r="U20" s="25"/>
      <c r="V20" s="25"/>
      <c r="W20" s="25"/>
      <c r="X20" s="25"/>
      <c r="Y20" s="25"/>
      <c r="Z20" s="25"/>
      <c r="AA20" s="25">
        <v>1</v>
      </c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31">
        <f t="shared" si="4"/>
        <v>0</v>
      </c>
      <c r="AP20" s="25"/>
      <c r="AQ20" s="25"/>
      <c r="AR20" s="25"/>
      <c r="AS20" s="25"/>
      <c r="AT20" s="32" t="str">
        <f t="shared" ca="1" si="5"/>
        <v/>
      </c>
      <c r="AU20" s="32" t="str">
        <f t="shared" ca="1" si="6"/>
        <v/>
      </c>
      <c r="AV20" s="32" t="str">
        <f t="shared" ca="1" si="7"/>
        <v/>
      </c>
      <c r="AW20" s="32" t="str">
        <f t="shared" ca="1" si="8"/>
        <v/>
      </c>
      <c r="AX20" s="32" t="str">
        <f t="shared" ca="1" si="9"/>
        <v/>
      </c>
      <c r="AY20" s="32" t="str">
        <f t="shared" si="10"/>
        <v/>
      </c>
      <c r="AZ20" s="32" t="str">
        <f t="shared" ca="1" si="11"/>
        <v/>
      </c>
      <c r="BA20" s="32" t="str">
        <f t="shared" ca="1" si="12"/>
        <v/>
      </c>
      <c r="BB20" s="32" t="str">
        <f t="shared" ca="1" si="13"/>
        <v/>
      </c>
      <c r="BC20" s="32" t="str">
        <f t="shared" ca="1" si="14"/>
        <v/>
      </c>
      <c r="BD20" s="32" t="str">
        <f t="shared" ca="1" si="15"/>
        <v/>
      </c>
      <c r="BE20" s="32" t="str">
        <f t="shared" ca="1" si="16"/>
        <v/>
      </c>
      <c r="BF20" s="32" t="str">
        <f t="shared" ca="1" si="17"/>
        <v/>
      </c>
      <c r="BG20" s="32" t="str">
        <f t="shared" ca="1" si="18"/>
        <v/>
      </c>
      <c r="BH20" s="32" t="str">
        <f t="shared" ca="1" si="19"/>
        <v/>
      </c>
      <c r="BI20" s="32" t="str">
        <f t="shared" ca="1" si="20"/>
        <v/>
      </c>
      <c r="BJ20" s="32" t="str">
        <f t="shared" ca="1" si="21"/>
        <v/>
      </c>
      <c r="BK20" s="32">
        <f t="shared" si="22"/>
        <v>18</v>
      </c>
      <c r="BL20" s="32" t="str">
        <f t="shared" si="23"/>
        <v/>
      </c>
      <c r="BM20" s="32" t="str">
        <f t="shared" si="24"/>
        <v/>
      </c>
      <c r="BN20" s="32" t="str">
        <f t="shared" ca="1" si="25"/>
        <v/>
      </c>
      <c r="BO20" s="33" t="str">
        <f t="shared" ca="1" si="26"/>
        <v>18</v>
      </c>
      <c r="BP20" s="34">
        <f t="shared" si="27"/>
        <v>21911245.280000001</v>
      </c>
    </row>
    <row r="21">
      <c r="A21" s="20">
        <v>2018</v>
      </c>
      <c r="B21" s="21">
        <v>44756</v>
      </c>
      <c r="C21" s="22">
        <v>43101</v>
      </c>
      <c r="D21" s="23" t="s">
        <v>123</v>
      </c>
      <c r="E21" s="23" t="s">
        <v>124</v>
      </c>
      <c r="F21" s="24" t="s">
        <v>82</v>
      </c>
      <c r="G21" s="24" t="s">
        <v>121</v>
      </c>
      <c r="H21" s="20">
        <f>IF(ISNUMBER(MATCH(G21,#REF!,0)),1,0)</f>
        <v>0</v>
      </c>
      <c r="I21" s="25">
        <f>IF(ISNUMBER(MATCH(G21,#REF!,0)),1,0)</f>
        <v>0</v>
      </c>
      <c r="J21" s="25"/>
      <c r="K21" s="24" t="s">
        <v>122</v>
      </c>
      <c r="L21" s="26">
        <v>114504323391</v>
      </c>
      <c r="M21" s="26">
        <v>144095180496</v>
      </c>
      <c r="N21" s="26">
        <v>-29590857105</v>
      </c>
      <c r="O21" s="26"/>
      <c r="P21" s="27">
        <v>0</v>
      </c>
      <c r="Q21" s="28">
        <f t="shared" si="1"/>
        <v>0.23999999999999999</v>
      </c>
      <c r="R21" s="29" t="str">
        <f t="shared" si="2"/>
        <v/>
      </c>
      <c r="S21" s="30" t="str">
        <f t="shared" si="3"/>
        <v/>
      </c>
      <c r="T21" s="30"/>
      <c r="U21" s="25"/>
      <c r="V21" s="25"/>
      <c r="W21" s="25"/>
      <c r="X21" s="25"/>
      <c r="Y21" s="25"/>
      <c r="Z21" s="25"/>
      <c r="AA21" s="25"/>
      <c r="AB21" s="25">
        <v>1</v>
      </c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31">
        <f t="shared" si="4"/>
        <v>0</v>
      </c>
      <c r="AP21" s="25"/>
      <c r="AQ21" s="25"/>
      <c r="AR21" s="25"/>
      <c r="AS21" s="25"/>
      <c r="AT21" s="32" t="str">
        <f t="shared" ca="1" si="5"/>
        <v/>
      </c>
      <c r="AU21" s="32" t="str">
        <f t="shared" ca="1" si="6"/>
        <v/>
      </c>
      <c r="AV21" s="32" t="str">
        <f t="shared" ca="1" si="7"/>
        <v/>
      </c>
      <c r="AW21" s="32" t="str">
        <f t="shared" ca="1" si="8"/>
        <v/>
      </c>
      <c r="AX21" s="32" t="str">
        <f t="shared" ca="1" si="9"/>
        <v/>
      </c>
      <c r="AY21" s="32" t="str">
        <f t="shared" si="10"/>
        <v/>
      </c>
      <c r="AZ21" s="32" t="str">
        <f t="shared" ca="1" si="11"/>
        <v/>
      </c>
      <c r="BA21" s="32" t="str">
        <f t="shared" ca="1" si="12"/>
        <v/>
      </c>
      <c r="BB21" s="32" t="str">
        <f t="shared" ca="1" si="13"/>
        <v/>
      </c>
      <c r="BC21" s="32" t="str">
        <f t="shared" ca="1" si="14"/>
        <v/>
      </c>
      <c r="BD21" s="32" t="str">
        <f t="shared" ca="1" si="15"/>
        <v/>
      </c>
      <c r="BE21" s="32" t="str">
        <f t="shared" ca="1" si="16"/>
        <v/>
      </c>
      <c r="BF21" s="32" t="str">
        <f t="shared" ca="1" si="17"/>
        <v/>
      </c>
      <c r="BG21" s="32" t="str">
        <f t="shared" ca="1" si="18"/>
        <v/>
      </c>
      <c r="BH21" s="32" t="str">
        <f t="shared" ca="1" si="19"/>
        <v/>
      </c>
      <c r="BI21" s="32" t="str">
        <f t="shared" ca="1" si="20"/>
        <v/>
      </c>
      <c r="BJ21" s="32" t="str">
        <f t="shared" ca="1" si="21"/>
        <v/>
      </c>
      <c r="BK21" s="32" t="str">
        <f t="shared" si="22"/>
        <v/>
      </c>
      <c r="BL21" s="32">
        <f t="shared" si="23"/>
        <v>19</v>
      </c>
      <c r="BM21" s="32" t="str">
        <f t="shared" si="24"/>
        <v/>
      </c>
      <c r="BN21" s="32" t="str">
        <f t="shared" ca="1" si="25"/>
        <v/>
      </c>
      <c r="BO21" s="33" t="str">
        <f t="shared" ca="1" si="26"/>
        <v>19</v>
      </c>
      <c r="BP21" s="34" t="str">
        <f t="shared" si="27"/>
        <v/>
      </c>
    </row>
    <row r="22">
      <c r="A22" s="41">
        <v>2018</v>
      </c>
      <c r="B22" s="42">
        <v>41339</v>
      </c>
      <c r="C22" s="22">
        <v>43101</v>
      </c>
      <c r="D22" s="23" t="s">
        <v>125</v>
      </c>
      <c r="E22" s="23" t="s">
        <v>126</v>
      </c>
      <c r="F22" s="43" t="s">
        <v>127</v>
      </c>
      <c r="G22" s="44" t="s">
        <v>128</v>
      </c>
      <c r="H22" s="41">
        <f>IF(ISNUMBER(MATCH(G22,#REF!,0)),1,0)</f>
        <v>0</v>
      </c>
      <c r="I22" s="45">
        <f>IF(ISNUMBER(MATCH(G22,#REF!,0)),1,0)</f>
        <v>0</v>
      </c>
      <c r="J22" s="45"/>
      <c r="K22" s="43" t="s">
        <v>129</v>
      </c>
      <c r="L22" s="46">
        <v>1098415500</v>
      </c>
      <c r="M22" s="46">
        <v>1042630615</v>
      </c>
      <c r="N22" s="46">
        <f>L22-M22</f>
        <v>55784885</v>
      </c>
      <c r="O22" s="46"/>
      <c r="P22" s="47">
        <v>13200000</v>
      </c>
      <c r="Q22" s="48">
        <f t="shared" si="1"/>
        <v>0.23999999999999999</v>
      </c>
      <c r="R22" s="29">
        <f t="shared" si="2"/>
        <v>13388372.4</v>
      </c>
      <c r="S22" s="49">
        <f t="shared" si="3"/>
        <v>188372.39999999999</v>
      </c>
      <c r="T22" s="49"/>
      <c r="U22" s="45"/>
      <c r="V22" s="45"/>
      <c r="W22" s="45"/>
      <c r="X22" s="45"/>
      <c r="Y22" s="45"/>
      <c r="Z22" s="45"/>
      <c r="AA22" s="45"/>
      <c r="AB22" s="45"/>
      <c r="AC22" s="45">
        <v>1</v>
      </c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50">
        <f t="shared" si="4"/>
        <v>0</v>
      </c>
      <c r="AP22" s="45"/>
      <c r="AQ22" s="45"/>
      <c r="AR22" s="45"/>
      <c r="AS22" s="45"/>
      <c r="AT22" s="51" t="str">
        <f t="shared" ca="1" si="5"/>
        <v/>
      </c>
      <c r="AU22" s="51" t="str">
        <f t="shared" ca="1" si="6"/>
        <v/>
      </c>
      <c r="AV22" s="51" t="str">
        <f t="shared" ca="1" si="7"/>
        <v/>
      </c>
      <c r="AW22" s="51" t="str">
        <f t="shared" ca="1" si="8"/>
        <v/>
      </c>
      <c r="AX22" s="51" t="str">
        <f t="shared" ca="1" si="9"/>
        <v/>
      </c>
      <c r="AY22" s="51" t="str">
        <f t="shared" si="10"/>
        <v/>
      </c>
      <c r="AZ22" s="51" t="str">
        <f t="shared" ca="1" si="11"/>
        <v/>
      </c>
      <c r="BA22" s="51" t="str">
        <f t="shared" ca="1" si="12"/>
        <v/>
      </c>
      <c r="BB22" s="51" t="str">
        <f t="shared" ca="1" si="13"/>
        <v/>
      </c>
      <c r="BC22" s="51" t="str">
        <f t="shared" ca="1" si="14"/>
        <v/>
      </c>
      <c r="BD22" s="51" t="str">
        <f t="shared" ca="1" si="15"/>
        <v/>
      </c>
      <c r="BE22" s="51" t="str">
        <f t="shared" ca="1" si="16"/>
        <v/>
      </c>
      <c r="BF22" s="51" t="str">
        <f t="shared" ca="1" si="17"/>
        <v/>
      </c>
      <c r="BG22" s="51" t="str">
        <f t="shared" ca="1" si="18"/>
        <v/>
      </c>
      <c r="BH22" s="51" t="str">
        <f t="shared" ca="1" si="19"/>
        <v/>
      </c>
      <c r="BI22" s="51" t="str">
        <f t="shared" ca="1" si="20"/>
        <v/>
      </c>
      <c r="BJ22" s="51" t="str">
        <f t="shared" ca="1" si="21"/>
        <v/>
      </c>
      <c r="BK22" s="51" t="str">
        <f t="shared" si="22"/>
        <v/>
      </c>
      <c r="BL22" s="51" t="str">
        <f t="shared" si="23"/>
        <v/>
      </c>
      <c r="BM22" s="51">
        <f t="shared" si="24"/>
        <v>20</v>
      </c>
      <c r="BN22" s="51" t="str">
        <f t="shared" ca="1" si="25"/>
        <v/>
      </c>
      <c r="BO22" s="52" t="str">
        <f t="shared" ca="1" si="26"/>
        <v>20</v>
      </c>
      <c r="BP22" s="53">
        <f t="shared" si="27"/>
        <v>188372.39999999999</v>
      </c>
    </row>
    <row r="23" s="4" customFormat="1">
      <c r="A23" s="2"/>
      <c r="B23" s="2"/>
      <c r="C23" s="2"/>
      <c r="D23" s="2"/>
      <c r="E23" s="2"/>
      <c r="F23" s="2"/>
      <c r="G23" s="2"/>
      <c r="H23" s="2"/>
      <c r="I23" s="3"/>
      <c r="J23" s="3"/>
      <c r="K23" s="2"/>
      <c r="L23" s="54"/>
      <c r="P23" s="5"/>
      <c r="Q23" s="5"/>
      <c r="S23" s="6"/>
      <c r="T23" s="6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8"/>
      <c r="BP23" s="9"/>
    </row>
    <row r="24" s="4" customFormat="1">
      <c r="A24" s="2"/>
      <c r="B24" s="2"/>
      <c r="C24" s="2"/>
      <c r="D24" s="2"/>
      <c r="E24" s="2"/>
      <c r="F24" s="2"/>
      <c r="G24" s="2"/>
      <c r="H24" s="2"/>
      <c r="I24" s="3"/>
      <c r="J24" s="3"/>
      <c r="K24" s="2"/>
      <c r="L24" s="54"/>
      <c r="P24" s="5"/>
      <c r="Q24" s="5"/>
      <c r="S24" s="6"/>
      <c r="T24" s="6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8"/>
      <c r="BP24" s="9"/>
    </row>
    <row r="25" s="4" customFormat="1">
      <c r="A25" s="2"/>
      <c r="B25" s="2"/>
      <c r="C25" s="2"/>
      <c r="D25" s="2"/>
      <c r="E25" s="2"/>
      <c r="F25" s="2"/>
      <c r="G25" s="2"/>
      <c r="H25" s="2"/>
      <c r="I25" s="3"/>
      <c r="J25" s="3"/>
      <c r="K25" s="2"/>
      <c r="L25" s="54"/>
      <c r="P25" s="5"/>
      <c r="Q25" s="5"/>
      <c r="S25" s="6"/>
      <c r="T25" s="6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8"/>
      <c r="BP25" s="9"/>
    </row>
    <row r="26" s="4" customFormat="1">
      <c r="A26" s="2"/>
      <c r="B26" s="2"/>
      <c r="C26" s="2"/>
      <c r="D26" s="2"/>
      <c r="E26" s="2"/>
      <c r="F26" s="2"/>
      <c r="G26" s="2"/>
      <c r="H26" s="2"/>
      <c r="I26" s="3"/>
      <c r="J26" s="3"/>
      <c r="K26" s="2"/>
      <c r="L26" s="54"/>
      <c r="P26" s="5"/>
      <c r="Q26" s="5"/>
      <c r="S26" s="6"/>
      <c r="T26" s="6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8"/>
      <c r="BP26" s="9"/>
    </row>
    <row r="27" s="4" customFormat="1">
      <c r="A27" s="2"/>
      <c r="B27" s="2"/>
      <c r="C27" s="2"/>
      <c r="D27" s="2"/>
      <c r="E27" s="2"/>
      <c r="F27" s="2"/>
      <c r="G27" s="2"/>
      <c r="H27" s="2"/>
      <c r="I27" s="3"/>
      <c r="J27" s="3"/>
      <c r="K27" s="2"/>
      <c r="L27" s="54"/>
      <c r="P27" s="5"/>
      <c r="Q27" s="5"/>
      <c r="S27" s="6"/>
      <c r="T27" s="6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8"/>
      <c r="BP27" s="9"/>
    </row>
    <row r="28" s="4" customFormat="1">
      <c r="A28" s="2"/>
      <c r="B28" s="2"/>
      <c r="C28" s="2"/>
      <c r="D28" s="2"/>
      <c r="E28" s="2"/>
      <c r="F28" s="2"/>
      <c r="G28" s="2"/>
      <c r="H28" s="2"/>
      <c r="I28" s="3"/>
      <c r="J28" s="3"/>
      <c r="K28" s="2"/>
      <c r="L28" s="54"/>
      <c r="P28" s="5"/>
      <c r="Q28" s="5"/>
      <c r="S28" s="6"/>
      <c r="T28" s="6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8"/>
      <c r="BP28" s="9"/>
    </row>
    <row r="29" s="4" customFormat="1">
      <c r="A29" s="2"/>
      <c r="B29" s="2"/>
      <c r="C29" s="2"/>
      <c r="D29" s="2"/>
      <c r="E29" s="2"/>
      <c r="F29" s="2"/>
      <c r="G29" s="2"/>
      <c r="H29" s="2"/>
      <c r="I29" s="3"/>
      <c r="J29" s="3"/>
      <c r="K29" s="2"/>
      <c r="L29" s="54"/>
      <c r="P29" s="5"/>
      <c r="Q29" s="5"/>
      <c r="S29" s="6"/>
      <c r="T29" s="6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8"/>
      <c r="BP29" s="9"/>
    </row>
    <row r="30" s="4" customFormat="1">
      <c r="A30" s="2"/>
      <c r="B30" s="2"/>
      <c r="C30" s="2"/>
      <c r="D30" s="2"/>
      <c r="E30" s="2"/>
      <c r="F30" s="2"/>
      <c r="G30" s="2"/>
      <c r="H30" s="2"/>
      <c r="I30" s="3"/>
      <c r="J30" s="3"/>
      <c r="K30" s="2"/>
      <c r="L30" s="54"/>
      <c r="P30" s="5"/>
      <c r="Q30" s="5"/>
      <c r="S30" s="6"/>
      <c r="T30" s="6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8"/>
      <c r="BP30" s="9"/>
    </row>
    <row r="31" s="4" customFormat="1">
      <c r="A31" s="2"/>
      <c r="B31" s="2"/>
      <c r="C31" s="2"/>
      <c r="D31" s="2"/>
      <c r="E31" s="2"/>
      <c r="F31" s="2"/>
      <c r="G31" s="2"/>
      <c r="H31" s="2"/>
      <c r="I31" s="3"/>
      <c r="J31" s="3"/>
      <c r="K31" s="2"/>
      <c r="L31" s="54"/>
      <c r="P31" s="5"/>
      <c r="Q31" s="5"/>
      <c r="S31" s="6"/>
      <c r="T31" s="6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8"/>
      <c r="BP31" s="9"/>
    </row>
    <row r="32" s="4" customFormat="1">
      <c r="A32" s="2"/>
      <c r="B32" s="2"/>
      <c r="C32" s="2"/>
      <c r="D32" s="2"/>
      <c r="E32" s="2"/>
      <c r="F32" s="2"/>
      <c r="G32" s="2"/>
      <c r="H32" s="2"/>
      <c r="I32" s="3"/>
      <c r="J32" s="3"/>
      <c r="K32" s="2"/>
      <c r="L32" s="54"/>
      <c r="P32" s="5"/>
      <c r="Q32" s="5"/>
      <c r="S32" s="6"/>
      <c r="T32" s="6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8"/>
      <c r="BP32" s="9"/>
    </row>
    <row r="33" s="4" customFormat="1">
      <c r="A33" s="2"/>
      <c r="B33" s="2"/>
      <c r="C33" s="2"/>
      <c r="D33" s="2"/>
      <c r="E33" s="2"/>
      <c r="F33" s="2"/>
      <c r="G33" s="2"/>
      <c r="H33" s="2"/>
      <c r="I33" s="3"/>
      <c r="J33" s="3"/>
      <c r="K33" s="2"/>
      <c r="L33" s="54"/>
      <c r="P33" s="5"/>
      <c r="Q33" s="5"/>
      <c r="S33" s="6"/>
      <c r="T33" s="6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8"/>
      <c r="BP33" s="9"/>
    </row>
    <row r="34" s="4" customFormat="1">
      <c r="A34" s="2"/>
      <c r="B34" s="2"/>
      <c r="C34" s="2"/>
      <c r="D34" s="2"/>
      <c r="E34" s="2"/>
      <c r="F34" s="2"/>
      <c r="G34" s="2"/>
      <c r="H34" s="2"/>
      <c r="I34" s="3"/>
      <c r="J34" s="3"/>
      <c r="K34" s="2"/>
      <c r="L34" s="54"/>
      <c r="P34" s="5"/>
      <c r="Q34" s="5"/>
      <c r="S34" s="6"/>
      <c r="T34" s="6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8"/>
      <c r="BP34" s="9"/>
    </row>
    <row r="35" s="4" customFormat="1">
      <c r="A35" s="2"/>
      <c r="B35" s="2"/>
      <c r="C35" s="2"/>
      <c r="D35" s="2"/>
      <c r="E35" s="2"/>
      <c r="F35" s="2"/>
      <c r="G35" s="2"/>
      <c r="H35" s="2"/>
      <c r="I35" s="3"/>
      <c r="J35" s="3"/>
      <c r="K35" s="2"/>
      <c r="L35" s="54"/>
      <c r="P35" s="5"/>
      <c r="Q35" s="5"/>
      <c r="S35" s="6"/>
      <c r="T35" s="6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8"/>
      <c r="BP35" s="9"/>
    </row>
    <row r="36" s="4" customFormat="1">
      <c r="A36" s="2"/>
      <c r="B36" s="2"/>
      <c r="C36" s="2"/>
      <c r="D36" s="2"/>
      <c r="E36" s="2"/>
      <c r="F36" s="2"/>
      <c r="G36" s="2"/>
      <c r="H36" s="2"/>
      <c r="I36" s="3"/>
      <c r="J36" s="3"/>
      <c r="K36" s="2"/>
      <c r="L36" s="54"/>
      <c r="P36" s="5"/>
      <c r="Q36" s="5"/>
      <c r="S36" s="6"/>
      <c r="T36" s="6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8"/>
      <c r="BP36" s="9"/>
    </row>
    <row r="37" s="4" customFormat="1">
      <c r="A37" s="2"/>
      <c r="B37" s="2"/>
      <c r="C37" s="2"/>
      <c r="D37" s="2"/>
      <c r="E37" s="2"/>
      <c r="F37" s="2"/>
      <c r="G37" s="2"/>
      <c r="H37" s="2"/>
      <c r="I37" s="3"/>
      <c r="J37" s="3"/>
      <c r="K37" s="2"/>
      <c r="L37" s="54"/>
      <c r="P37" s="5"/>
      <c r="Q37" s="5"/>
      <c r="S37" s="6"/>
      <c r="T37" s="6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8"/>
      <c r="BP37" s="9"/>
    </row>
    <row r="38" s="4" customFormat="1">
      <c r="A38" s="2"/>
      <c r="B38" s="2"/>
      <c r="C38" s="2"/>
      <c r="D38" s="2"/>
      <c r="E38" s="2"/>
      <c r="F38" s="2"/>
      <c r="G38" s="2"/>
      <c r="H38" s="2"/>
      <c r="I38" s="3"/>
      <c r="J38" s="3"/>
      <c r="K38" s="2"/>
      <c r="L38" s="54"/>
      <c r="P38" s="5"/>
      <c r="Q38" s="5"/>
      <c r="S38" s="6"/>
      <c r="T38" s="6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8"/>
      <c r="BP38" s="9"/>
    </row>
    <row r="39" s="4" customFormat="1">
      <c r="A39" s="2"/>
      <c r="B39" s="2"/>
      <c r="C39" s="2"/>
      <c r="D39" s="2"/>
      <c r="E39" s="2"/>
      <c r="F39" s="2"/>
      <c r="G39" s="2"/>
      <c r="H39" s="2"/>
      <c r="I39" s="3"/>
      <c r="J39" s="3"/>
      <c r="K39" s="2"/>
      <c r="L39" s="54"/>
      <c r="P39" s="5"/>
      <c r="Q39" s="5"/>
      <c r="S39" s="6"/>
      <c r="T39" s="6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8"/>
      <c r="BP39" s="9"/>
    </row>
    <row r="40" s="4" customFormat="1">
      <c r="A40" s="2"/>
      <c r="B40" s="2"/>
      <c r="C40" s="2"/>
      <c r="D40" s="2"/>
      <c r="E40" s="2"/>
      <c r="F40" s="2"/>
      <c r="G40" s="2"/>
      <c r="H40" s="2"/>
      <c r="I40" s="3"/>
      <c r="J40" s="3"/>
      <c r="K40" s="2"/>
      <c r="L40" s="54"/>
      <c r="P40" s="5"/>
      <c r="Q40" s="5"/>
      <c r="S40" s="6"/>
      <c r="T40" s="6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8"/>
      <c r="BP40" s="9"/>
    </row>
    <row r="41" s="4" customFormat="1">
      <c r="A41" s="2"/>
      <c r="B41" s="2"/>
      <c r="C41" s="2"/>
      <c r="D41" s="2"/>
      <c r="E41" s="2"/>
      <c r="F41" s="2"/>
      <c r="G41" s="2"/>
      <c r="H41" s="2"/>
      <c r="I41" s="3"/>
      <c r="J41" s="3"/>
      <c r="K41" s="2"/>
      <c r="L41" s="54"/>
      <c r="P41" s="5"/>
      <c r="Q41" s="5"/>
      <c r="S41" s="6"/>
      <c r="T41" s="6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8"/>
      <c r="BP41" s="9"/>
    </row>
    <row r="42" s="4" customFormat="1">
      <c r="A42" s="2"/>
      <c r="B42" s="2"/>
      <c r="C42" s="2"/>
      <c r="D42" s="2"/>
      <c r="E42" s="2"/>
      <c r="F42" s="2"/>
      <c r="G42" s="2"/>
      <c r="H42" s="2"/>
      <c r="I42" s="3"/>
      <c r="J42" s="3"/>
      <c r="K42" s="2"/>
      <c r="L42" s="54"/>
      <c r="P42" s="5"/>
      <c r="Q42" s="5"/>
      <c r="S42" s="6"/>
      <c r="T42" s="6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8"/>
      <c r="BP42" s="9"/>
    </row>
    <row r="43" s="4" customFormat="1">
      <c r="A43" s="2"/>
      <c r="B43" s="2"/>
      <c r="C43" s="2"/>
      <c r="D43" s="2"/>
      <c r="E43" s="2"/>
      <c r="F43" s="2"/>
      <c r="G43" s="2"/>
      <c r="H43" s="2"/>
      <c r="I43" s="3"/>
      <c r="J43" s="3"/>
      <c r="K43" s="2"/>
      <c r="L43" s="54"/>
      <c r="P43" s="5"/>
      <c r="Q43" s="5"/>
      <c r="S43" s="6"/>
      <c r="T43" s="6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8"/>
      <c r="BP43" s="9"/>
    </row>
    <row r="44" s="4" customFormat="1">
      <c r="A44" s="2"/>
      <c r="B44" s="2"/>
      <c r="C44" s="2"/>
      <c r="D44" s="2"/>
      <c r="E44" s="2"/>
      <c r="F44" s="2"/>
      <c r="G44" s="2"/>
      <c r="H44" s="2"/>
      <c r="I44" s="3"/>
      <c r="J44" s="3"/>
      <c r="K44" s="2"/>
      <c r="L44" s="54"/>
      <c r="P44" s="5"/>
      <c r="Q44" s="5"/>
      <c r="S44" s="6"/>
      <c r="T44" s="6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8"/>
      <c r="BP44" s="9"/>
    </row>
    <row r="45" s="4" customFormat="1">
      <c r="A45" s="2"/>
      <c r="B45" s="2"/>
      <c r="C45" s="2"/>
      <c r="D45" s="2"/>
      <c r="E45" s="2"/>
      <c r="F45" s="2"/>
      <c r="G45" s="2"/>
      <c r="H45" s="2"/>
      <c r="I45" s="3"/>
      <c r="J45" s="3"/>
      <c r="K45" s="2"/>
      <c r="L45" s="54"/>
      <c r="P45" s="5"/>
      <c r="Q45" s="5"/>
      <c r="S45" s="6"/>
      <c r="T45" s="6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8"/>
      <c r="BP45" s="9"/>
    </row>
    <row r="46" s="4" customFormat="1">
      <c r="A46" s="2"/>
      <c r="B46" s="2"/>
      <c r="C46" s="2"/>
      <c r="D46" s="2"/>
      <c r="E46" s="2"/>
      <c r="F46" s="2"/>
      <c r="G46" s="2"/>
      <c r="H46" s="2"/>
      <c r="I46" s="3"/>
      <c r="J46" s="3"/>
      <c r="K46" s="2"/>
      <c r="L46" s="54"/>
      <c r="P46" s="5"/>
      <c r="Q46" s="5"/>
      <c r="S46" s="6"/>
      <c r="T46" s="6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8"/>
      <c r="BP46" s="9"/>
    </row>
    <row r="47" s="4" customFormat="1">
      <c r="A47" s="2"/>
      <c r="B47" s="2"/>
      <c r="C47" s="2"/>
      <c r="D47" s="2"/>
      <c r="E47" s="2"/>
      <c r="F47" s="2"/>
      <c r="G47" s="2"/>
      <c r="H47" s="2"/>
      <c r="I47" s="3"/>
      <c r="J47" s="3"/>
      <c r="K47" s="2"/>
      <c r="L47" s="54"/>
      <c r="P47" s="5"/>
      <c r="Q47" s="5"/>
      <c r="S47" s="6"/>
      <c r="T47" s="6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8"/>
      <c r="BP47" s="9"/>
    </row>
    <row r="48" s="4" customFormat="1">
      <c r="A48" s="2"/>
      <c r="B48" s="2"/>
      <c r="C48" s="2"/>
      <c r="D48" s="2"/>
      <c r="E48" s="2"/>
      <c r="F48" s="2"/>
      <c r="G48" s="2"/>
      <c r="H48" s="2"/>
      <c r="I48" s="3"/>
      <c r="J48" s="3"/>
      <c r="K48" s="2"/>
      <c r="L48" s="54"/>
      <c r="P48" s="5"/>
      <c r="Q48" s="5"/>
      <c r="S48" s="6"/>
      <c r="T48" s="6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8"/>
      <c r="BP48" s="9"/>
    </row>
    <row r="49" s="4" customFormat="1">
      <c r="A49" s="2"/>
      <c r="B49" s="2"/>
      <c r="C49" s="2"/>
      <c r="D49" s="2"/>
      <c r="E49" s="2"/>
      <c r="F49" s="2"/>
      <c r="G49" s="2"/>
      <c r="H49" s="2"/>
      <c r="I49" s="3"/>
      <c r="J49" s="3"/>
      <c r="K49" s="2"/>
      <c r="L49" s="54"/>
      <c r="P49" s="5"/>
      <c r="Q49" s="5"/>
      <c r="S49" s="6"/>
      <c r="T49" s="6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8"/>
      <c r="BP49" s="9"/>
    </row>
    <row r="50" s="4" customFormat="1">
      <c r="A50" s="2"/>
      <c r="B50" s="2"/>
      <c r="C50" s="2"/>
      <c r="D50" s="2"/>
      <c r="E50" s="2"/>
      <c r="F50" s="2"/>
      <c r="G50" s="2"/>
      <c r="H50" s="2"/>
      <c r="I50" s="3"/>
      <c r="J50" s="3"/>
      <c r="K50" s="2"/>
      <c r="L50" s="54"/>
      <c r="P50" s="5"/>
      <c r="Q50" s="5"/>
      <c r="S50" s="6"/>
      <c r="T50" s="6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8"/>
      <c r="BP50" s="9"/>
    </row>
    <row r="51" s="4" customFormat="1">
      <c r="A51" s="2"/>
      <c r="B51" s="2"/>
      <c r="C51" s="2"/>
      <c r="D51" s="2"/>
      <c r="E51" s="2"/>
      <c r="F51" s="2"/>
      <c r="G51" s="2"/>
      <c r="H51" s="2"/>
      <c r="I51" s="3"/>
      <c r="J51" s="3"/>
      <c r="K51" s="2"/>
      <c r="L51" s="54"/>
      <c r="P51" s="5"/>
      <c r="Q51" s="5"/>
      <c r="S51" s="6"/>
      <c r="T51" s="6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8"/>
      <c r="BP51" s="9"/>
    </row>
    <row r="52" s="4" customFormat="1">
      <c r="A52" s="2"/>
      <c r="B52" s="2"/>
      <c r="C52" s="2"/>
      <c r="D52" s="2"/>
      <c r="E52" s="2"/>
      <c r="F52" s="2"/>
      <c r="G52" s="2"/>
      <c r="H52" s="2"/>
      <c r="I52" s="3"/>
      <c r="J52" s="3"/>
      <c r="K52" s="2"/>
      <c r="L52" s="54"/>
      <c r="P52" s="5"/>
      <c r="Q52" s="5"/>
      <c r="S52" s="6"/>
      <c r="T52" s="6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8"/>
      <c r="BP52" s="9"/>
    </row>
    <row r="53" s="4" customFormat="1">
      <c r="A53" s="2"/>
      <c r="B53" s="2"/>
      <c r="C53" s="2"/>
      <c r="D53" s="2"/>
      <c r="E53" s="2"/>
      <c r="F53" s="2"/>
      <c r="G53" s="2"/>
      <c r="H53" s="2"/>
      <c r="I53" s="3"/>
      <c r="J53" s="3"/>
      <c r="K53" s="2"/>
      <c r="L53" s="54"/>
      <c r="P53" s="5"/>
      <c r="Q53" s="5"/>
      <c r="S53" s="6"/>
      <c r="T53" s="6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8"/>
      <c r="BP53" s="9"/>
    </row>
    <row r="54" s="4" customFormat="1">
      <c r="A54" s="2"/>
      <c r="B54" s="2"/>
      <c r="C54" s="2"/>
      <c r="D54" s="2"/>
      <c r="E54" s="2"/>
      <c r="F54" s="2"/>
      <c r="G54" s="2"/>
      <c r="H54" s="2"/>
      <c r="I54" s="3"/>
      <c r="J54" s="3"/>
      <c r="K54" s="2"/>
      <c r="L54" s="54"/>
      <c r="P54" s="5"/>
      <c r="Q54" s="5"/>
      <c r="S54" s="6"/>
      <c r="T54" s="6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8"/>
      <c r="BP54" s="9"/>
    </row>
    <row r="55" s="4" customFormat="1">
      <c r="A55" s="2"/>
      <c r="B55" s="2"/>
      <c r="C55" s="2"/>
      <c r="D55" s="2"/>
      <c r="E55" s="2"/>
      <c r="F55" s="2"/>
      <c r="G55" s="2"/>
      <c r="H55" s="2"/>
      <c r="I55" s="3"/>
      <c r="J55" s="3"/>
      <c r="K55" s="2"/>
      <c r="L55" s="54"/>
      <c r="P55" s="5"/>
      <c r="Q55" s="5"/>
      <c r="S55" s="6"/>
      <c r="T55" s="6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8"/>
      <c r="BP55" s="9"/>
    </row>
    <row r="56" s="4" customFormat="1">
      <c r="A56" s="2"/>
      <c r="B56" s="2"/>
      <c r="C56" s="2"/>
      <c r="D56" s="2"/>
      <c r="E56" s="2"/>
      <c r="F56" s="2"/>
      <c r="G56" s="2"/>
      <c r="H56" s="2"/>
      <c r="I56" s="3"/>
      <c r="J56" s="3"/>
      <c r="K56" s="2"/>
      <c r="L56" s="54"/>
      <c r="P56" s="5"/>
      <c r="Q56" s="5"/>
      <c r="S56" s="6"/>
      <c r="T56" s="6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8"/>
      <c r="BP56" s="9"/>
    </row>
    <row r="57" s="4" customFormat="1">
      <c r="A57" s="2"/>
      <c r="B57" s="2"/>
      <c r="C57" s="2"/>
      <c r="D57" s="2"/>
      <c r="E57" s="2"/>
      <c r="F57" s="2"/>
      <c r="G57" s="2"/>
      <c r="H57" s="2"/>
      <c r="I57" s="3"/>
      <c r="J57" s="3"/>
      <c r="K57" s="2"/>
      <c r="L57" s="54"/>
      <c r="P57" s="5"/>
      <c r="Q57" s="5"/>
      <c r="S57" s="6"/>
      <c r="T57" s="6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8"/>
      <c r="BP57" s="9"/>
    </row>
    <row r="58" s="4" customFormat="1">
      <c r="A58" s="2"/>
      <c r="B58" s="2"/>
      <c r="C58" s="2"/>
      <c r="D58" s="2"/>
      <c r="E58" s="2"/>
      <c r="F58" s="2"/>
      <c r="G58" s="2"/>
      <c r="H58" s="2"/>
      <c r="I58" s="3"/>
      <c r="J58" s="3"/>
      <c r="K58" s="2"/>
      <c r="L58" s="54"/>
      <c r="P58" s="5"/>
      <c r="Q58" s="5"/>
      <c r="S58" s="6"/>
      <c r="T58" s="6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8"/>
      <c r="BP58" s="9"/>
    </row>
    <row r="59" s="4" customFormat="1">
      <c r="A59" s="2"/>
      <c r="B59" s="2"/>
      <c r="C59" s="2"/>
      <c r="D59" s="2"/>
      <c r="E59" s="2"/>
      <c r="F59" s="2"/>
      <c r="G59" s="2"/>
      <c r="H59" s="2"/>
      <c r="I59" s="3"/>
      <c r="J59" s="3"/>
      <c r="K59" s="2"/>
      <c r="L59" s="54"/>
      <c r="P59" s="5"/>
      <c r="Q59" s="5"/>
      <c r="S59" s="6"/>
      <c r="T59" s="6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8"/>
      <c r="BP59" s="9"/>
    </row>
    <row r="60" s="4" customFormat="1">
      <c r="A60" s="2"/>
      <c r="B60" s="2"/>
      <c r="C60" s="2"/>
      <c r="D60" s="2"/>
      <c r="E60" s="2"/>
      <c r="F60" s="2"/>
      <c r="G60" s="2"/>
      <c r="H60" s="2"/>
      <c r="I60" s="3"/>
      <c r="J60" s="3"/>
      <c r="K60" s="2"/>
      <c r="L60" s="54"/>
      <c r="P60" s="5"/>
      <c r="Q60" s="5"/>
      <c r="S60" s="6"/>
      <c r="T60" s="6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8"/>
      <c r="BP60" s="9"/>
    </row>
    <row r="61" s="4" customFormat="1">
      <c r="A61" s="2"/>
      <c r="B61" s="2"/>
      <c r="C61" s="2"/>
      <c r="D61" s="2"/>
      <c r="E61" s="2"/>
      <c r="F61" s="2"/>
      <c r="G61" s="2"/>
      <c r="H61" s="2"/>
      <c r="I61" s="3"/>
      <c r="J61" s="3"/>
      <c r="K61" s="2"/>
      <c r="L61" s="54"/>
      <c r="P61" s="5"/>
      <c r="Q61" s="5"/>
      <c r="S61" s="6"/>
      <c r="T61" s="6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8"/>
      <c r="BP61" s="9"/>
    </row>
    <row r="62" s="4" customFormat="1">
      <c r="A62" s="2"/>
      <c r="B62" s="2"/>
      <c r="C62" s="2"/>
      <c r="D62" s="2"/>
      <c r="E62" s="2"/>
      <c r="F62" s="2"/>
      <c r="G62" s="2"/>
      <c r="H62" s="2"/>
      <c r="I62" s="3"/>
      <c r="J62" s="3"/>
      <c r="K62" s="2"/>
      <c r="L62" s="54"/>
      <c r="P62" s="5"/>
      <c r="Q62" s="5"/>
      <c r="S62" s="6"/>
      <c r="T62" s="6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8"/>
      <c r="BP62" s="9"/>
    </row>
    <row r="63" s="4" customFormat="1">
      <c r="A63" s="2"/>
      <c r="B63" s="2"/>
      <c r="C63" s="2"/>
      <c r="D63" s="2"/>
      <c r="E63" s="2"/>
      <c r="F63" s="2"/>
      <c r="G63" s="2"/>
      <c r="H63" s="2"/>
      <c r="I63" s="3"/>
      <c r="J63" s="3"/>
      <c r="K63" s="2"/>
      <c r="L63" s="54"/>
      <c r="P63" s="5"/>
      <c r="Q63" s="5"/>
      <c r="S63" s="6"/>
      <c r="T63" s="6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8"/>
      <c r="BP63" s="9"/>
    </row>
    <row r="64" s="4" customFormat="1">
      <c r="A64" s="2"/>
      <c r="B64" s="2"/>
      <c r="C64" s="2"/>
      <c r="D64" s="2"/>
      <c r="E64" s="2"/>
      <c r="F64" s="2"/>
      <c r="G64" s="2"/>
      <c r="H64" s="2"/>
      <c r="I64" s="3"/>
      <c r="J64" s="3"/>
      <c r="K64" s="2"/>
      <c r="L64" s="54"/>
      <c r="P64" s="5"/>
      <c r="Q64" s="5"/>
      <c r="S64" s="6"/>
      <c r="T64" s="6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8"/>
      <c r="BP64" s="9"/>
    </row>
    <row r="65" s="4" customFormat="1">
      <c r="A65" s="2"/>
      <c r="B65" s="2"/>
      <c r="C65" s="2"/>
      <c r="D65" s="2"/>
      <c r="E65" s="2"/>
      <c r="F65" s="2"/>
      <c r="G65" s="2"/>
      <c r="H65" s="2"/>
      <c r="I65" s="3"/>
      <c r="J65" s="3"/>
      <c r="K65" s="2"/>
      <c r="L65" s="54"/>
      <c r="P65" s="5"/>
      <c r="Q65" s="5"/>
      <c r="S65" s="6"/>
      <c r="T65" s="6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8"/>
      <c r="BP65" s="9"/>
    </row>
    <row r="66" s="4" customFormat="1">
      <c r="A66" s="2"/>
      <c r="B66" s="2"/>
      <c r="C66" s="2"/>
      <c r="D66" s="2"/>
      <c r="E66" s="2"/>
      <c r="F66" s="2"/>
      <c r="G66" s="2"/>
      <c r="H66" s="2"/>
      <c r="I66" s="3"/>
      <c r="J66" s="3"/>
      <c r="K66" s="2"/>
      <c r="L66" s="54"/>
      <c r="P66" s="5"/>
      <c r="Q66" s="5"/>
      <c r="S66" s="6"/>
      <c r="T66" s="6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8"/>
      <c r="BP66" s="9"/>
    </row>
    <row r="67" s="4" customFormat="1">
      <c r="A67" s="2"/>
      <c r="B67" s="2"/>
      <c r="C67" s="2"/>
      <c r="D67" s="2"/>
      <c r="E67" s="2"/>
      <c r="F67" s="2"/>
      <c r="G67" s="2"/>
      <c r="H67" s="2"/>
      <c r="I67" s="3"/>
      <c r="J67" s="3"/>
      <c r="K67" s="2"/>
      <c r="L67" s="54"/>
      <c r="P67" s="5"/>
      <c r="Q67" s="5"/>
      <c r="S67" s="6"/>
      <c r="T67" s="6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8"/>
      <c r="BP67" s="9"/>
    </row>
    <row r="68" s="4" customFormat="1">
      <c r="A68" s="2"/>
      <c r="B68" s="2"/>
      <c r="C68" s="2"/>
      <c r="D68" s="2"/>
      <c r="E68" s="2"/>
      <c r="F68" s="2"/>
      <c r="G68" s="2"/>
      <c r="H68" s="2"/>
      <c r="I68" s="3"/>
      <c r="J68" s="3"/>
      <c r="K68" s="2"/>
      <c r="L68" s="54"/>
      <c r="P68" s="5"/>
      <c r="Q68" s="5"/>
      <c r="S68" s="6"/>
      <c r="T68" s="6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8"/>
      <c r="BP68" s="9"/>
    </row>
    <row r="69" s="4" customFormat="1">
      <c r="A69" s="2"/>
      <c r="B69" s="2"/>
      <c r="C69" s="2"/>
      <c r="D69" s="2"/>
      <c r="E69" s="2"/>
      <c r="F69" s="2"/>
      <c r="G69" s="2"/>
      <c r="H69" s="2"/>
      <c r="I69" s="3"/>
      <c r="J69" s="3"/>
      <c r="K69" s="2"/>
      <c r="L69" s="54"/>
      <c r="P69" s="5"/>
      <c r="Q69" s="5"/>
      <c r="S69" s="6"/>
      <c r="T69" s="6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8"/>
      <c r="BP69" s="9"/>
    </row>
    <row r="70" s="4" customFormat="1">
      <c r="A70" s="2"/>
      <c r="B70" s="2"/>
      <c r="C70" s="2"/>
      <c r="D70" s="2"/>
      <c r="E70" s="2"/>
      <c r="F70" s="2"/>
      <c r="G70" s="2"/>
      <c r="H70" s="2"/>
      <c r="I70" s="3"/>
      <c r="J70" s="3"/>
      <c r="K70" s="2"/>
      <c r="L70" s="54"/>
      <c r="P70" s="5"/>
      <c r="Q70" s="5"/>
      <c r="S70" s="6"/>
      <c r="T70" s="6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8"/>
      <c r="BP70" s="9"/>
    </row>
    <row r="71" s="4" customFormat="1">
      <c r="A71" s="2"/>
      <c r="B71" s="2"/>
      <c r="C71" s="2"/>
      <c r="D71" s="2"/>
      <c r="E71" s="2"/>
      <c r="F71" s="2"/>
      <c r="G71" s="2"/>
      <c r="H71" s="2"/>
      <c r="I71" s="3"/>
      <c r="J71" s="3"/>
      <c r="K71" s="2"/>
      <c r="L71" s="54"/>
      <c r="P71" s="5"/>
      <c r="Q71" s="5"/>
      <c r="S71" s="6"/>
      <c r="T71" s="6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8"/>
      <c r="BP71" s="9"/>
    </row>
    <row r="72" s="4" customFormat="1">
      <c r="A72" s="2"/>
      <c r="B72" s="2"/>
      <c r="C72" s="2"/>
      <c r="D72" s="2"/>
      <c r="E72" s="2"/>
      <c r="F72" s="2"/>
      <c r="G72" s="2"/>
      <c r="H72" s="2"/>
      <c r="I72" s="3"/>
      <c r="J72" s="3"/>
      <c r="K72" s="2"/>
      <c r="L72" s="54"/>
      <c r="P72" s="5"/>
      <c r="Q72" s="5"/>
      <c r="S72" s="6"/>
      <c r="T72" s="6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8"/>
      <c r="BP72" s="9"/>
    </row>
    <row r="73" s="4" customFormat="1">
      <c r="A73" s="2"/>
      <c r="B73" s="2"/>
      <c r="C73" s="2"/>
      <c r="D73" s="2"/>
      <c r="E73" s="2"/>
      <c r="F73" s="2"/>
      <c r="G73" s="2"/>
      <c r="H73" s="2"/>
      <c r="I73" s="3"/>
      <c r="J73" s="3"/>
      <c r="K73" s="2"/>
      <c r="L73" s="54"/>
      <c r="P73" s="5"/>
      <c r="Q73" s="5"/>
      <c r="S73" s="6"/>
      <c r="T73" s="6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8"/>
      <c r="BP73" s="9"/>
    </row>
    <row r="74" s="4" customFormat="1">
      <c r="A74" s="2"/>
      <c r="B74" s="2"/>
      <c r="C74" s="2"/>
      <c r="D74" s="2"/>
      <c r="E74" s="2"/>
      <c r="F74" s="2"/>
      <c r="G74" s="2"/>
      <c r="H74" s="2"/>
      <c r="I74" s="3"/>
      <c r="J74" s="3"/>
      <c r="K74" s="2"/>
      <c r="L74" s="54"/>
      <c r="P74" s="5"/>
      <c r="Q74" s="5"/>
      <c r="S74" s="6"/>
      <c r="T74" s="6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8"/>
      <c r="BP74" s="9"/>
    </row>
    <row r="75" s="4" customFormat="1">
      <c r="A75" s="2"/>
      <c r="B75" s="2"/>
      <c r="C75" s="2"/>
      <c r="D75" s="2"/>
      <c r="E75" s="2"/>
      <c r="F75" s="2"/>
      <c r="G75" s="2"/>
      <c r="H75" s="2"/>
      <c r="I75" s="3"/>
      <c r="J75" s="3"/>
      <c r="K75" s="2"/>
      <c r="L75" s="54"/>
      <c r="P75" s="5"/>
      <c r="Q75" s="5"/>
      <c r="S75" s="6"/>
      <c r="T75" s="6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8"/>
      <c r="BP75" s="9"/>
    </row>
    <row r="76" s="4" customFormat="1">
      <c r="A76" s="2"/>
      <c r="B76" s="2"/>
      <c r="C76" s="2"/>
      <c r="D76" s="2"/>
      <c r="E76" s="2"/>
      <c r="F76" s="2"/>
      <c r="G76" s="2"/>
      <c r="H76" s="2"/>
      <c r="I76" s="3"/>
      <c r="J76" s="3"/>
      <c r="K76" s="2"/>
      <c r="L76" s="54"/>
      <c r="P76" s="5"/>
      <c r="Q76" s="5"/>
      <c r="S76" s="6"/>
      <c r="T76" s="6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8"/>
      <c r="BP76" s="9"/>
    </row>
    <row r="77" s="4" customFormat="1">
      <c r="A77" s="2"/>
      <c r="B77" s="2"/>
      <c r="C77" s="2"/>
      <c r="D77" s="2"/>
      <c r="E77" s="2"/>
      <c r="F77" s="2"/>
      <c r="G77" s="2"/>
      <c r="H77" s="2"/>
      <c r="I77" s="3"/>
      <c r="J77" s="3"/>
      <c r="K77" s="2"/>
      <c r="L77" s="54"/>
      <c r="P77" s="5"/>
      <c r="Q77" s="5"/>
      <c r="S77" s="6"/>
      <c r="T77" s="6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8"/>
      <c r="BP77" s="9"/>
    </row>
    <row r="78" s="4" customFormat="1">
      <c r="A78" s="2"/>
      <c r="B78" s="2"/>
      <c r="C78" s="2"/>
      <c r="D78" s="2"/>
      <c r="E78" s="2"/>
      <c r="F78" s="2"/>
      <c r="G78" s="2"/>
      <c r="H78" s="2"/>
      <c r="I78" s="3"/>
      <c r="J78" s="3"/>
      <c r="K78" s="2"/>
      <c r="L78" s="54"/>
      <c r="P78" s="5"/>
      <c r="Q78" s="5"/>
      <c r="S78" s="6"/>
      <c r="T78" s="6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8"/>
      <c r="BP78" s="9"/>
    </row>
    <row r="79" s="4" customFormat="1">
      <c r="A79" s="2"/>
      <c r="B79" s="2"/>
      <c r="C79" s="2"/>
      <c r="D79" s="2"/>
      <c r="E79" s="2"/>
      <c r="F79" s="2"/>
      <c r="G79" s="2"/>
      <c r="H79" s="2"/>
      <c r="I79" s="3"/>
      <c r="J79" s="3"/>
      <c r="K79" s="2"/>
      <c r="L79" s="54"/>
      <c r="P79" s="5"/>
      <c r="Q79" s="5"/>
      <c r="S79" s="6"/>
      <c r="T79" s="6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8"/>
      <c r="BP79" s="9"/>
    </row>
    <row r="80" s="4" customFormat="1">
      <c r="A80" s="2"/>
      <c r="B80" s="2"/>
      <c r="C80" s="2"/>
      <c r="D80" s="2"/>
      <c r="E80" s="2"/>
      <c r="F80" s="2"/>
      <c r="G80" s="2"/>
      <c r="H80" s="2"/>
      <c r="I80" s="3"/>
      <c r="J80" s="3"/>
      <c r="K80" s="2"/>
      <c r="L80" s="54"/>
      <c r="P80" s="5"/>
      <c r="Q80" s="5"/>
      <c r="S80" s="6"/>
      <c r="T80" s="6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8"/>
      <c r="BP80" s="9"/>
    </row>
    <row r="81" s="4" customFormat="1">
      <c r="A81" s="2"/>
      <c r="B81" s="2"/>
      <c r="C81" s="2"/>
      <c r="D81" s="2"/>
      <c r="E81" s="2"/>
      <c r="F81" s="2"/>
      <c r="G81" s="2"/>
      <c r="H81" s="2"/>
      <c r="I81" s="3"/>
      <c r="J81" s="3"/>
      <c r="K81" s="2"/>
      <c r="L81" s="54"/>
      <c r="P81" s="5"/>
      <c r="Q81" s="5"/>
      <c r="S81" s="6"/>
      <c r="T81" s="6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8"/>
      <c r="BP81" s="9"/>
    </row>
    <row r="82" s="4" customFormat="1">
      <c r="A82" s="2"/>
      <c r="B82" s="2"/>
      <c r="C82" s="2"/>
      <c r="D82" s="2"/>
      <c r="E82" s="2"/>
      <c r="F82" s="2"/>
      <c r="G82" s="2"/>
      <c r="H82" s="2"/>
      <c r="I82" s="3"/>
      <c r="J82" s="3"/>
      <c r="K82" s="2"/>
      <c r="L82" s="54"/>
      <c r="P82" s="5"/>
      <c r="Q82" s="5"/>
      <c r="S82" s="6"/>
      <c r="T82" s="6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8"/>
      <c r="BP82" s="9"/>
    </row>
    <row r="83" s="4" customFormat="1">
      <c r="A83" s="2"/>
      <c r="B83" s="2"/>
      <c r="C83" s="2"/>
      <c r="D83" s="2"/>
      <c r="E83" s="2"/>
      <c r="F83" s="2"/>
      <c r="G83" s="2"/>
      <c r="H83" s="2"/>
      <c r="I83" s="3"/>
      <c r="J83" s="3"/>
      <c r="K83" s="2"/>
      <c r="L83" s="54"/>
      <c r="P83" s="5"/>
      <c r="Q83" s="5"/>
      <c r="S83" s="6"/>
      <c r="T83" s="6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8"/>
      <c r="BP83" s="9"/>
    </row>
    <row r="84" s="4" customFormat="1">
      <c r="A84" s="2"/>
      <c r="B84" s="2"/>
      <c r="C84" s="2"/>
      <c r="D84" s="2"/>
      <c r="E84" s="2"/>
      <c r="F84" s="2"/>
      <c r="G84" s="2"/>
      <c r="H84" s="2"/>
      <c r="I84" s="3"/>
      <c r="J84" s="3"/>
      <c r="K84" s="2"/>
      <c r="L84" s="54"/>
      <c r="P84" s="5"/>
      <c r="Q84" s="5"/>
      <c r="S84" s="6"/>
      <c r="T84" s="6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8"/>
      <c r="BP84" s="9"/>
    </row>
    <row r="85" s="4" customFormat="1">
      <c r="A85" s="2"/>
      <c r="B85" s="2"/>
      <c r="C85" s="2"/>
      <c r="D85" s="2"/>
      <c r="E85" s="2"/>
      <c r="F85" s="2"/>
      <c r="G85" s="2"/>
      <c r="H85" s="2"/>
      <c r="I85" s="3"/>
      <c r="J85" s="3"/>
      <c r="K85" s="2"/>
      <c r="L85" s="54"/>
      <c r="P85" s="5"/>
      <c r="Q85" s="5"/>
      <c r="S85" s="6"/>
      <c r="T85" s="6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8"/>
      <c r="BP85" s="9"/>
    </row>
    <row r="86" s="4" customFormat="1">
      <c r="A86" s="2"/>
      <c r="B86" s="2"/>
      <c r="C86" s="2"/>
      <c r="D86" s="2"/>
      <c r="E86" s="2"/>
      <c r="F86" s="2"/>
      <c r="G86" s="2"/>
      <c r="H86" s="2"/>
      <c r="I86" s="3"/>
      <c r="J86" s="3"/>
      <c r="K86" s="2"/>
      <c r="L86" s="54"/>
      <c r="P86" s="5"/>
      <c r="Q86" s="5"/>
      <c r="S86" s="6"/>
      <c r="T86" s="6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8"/>
      <c r="BP86" s="9"/>
    </row>
    <row r="87" s="4" customFormat="1">
      <c r="A87" s="2"/>
      <c r="B87" s="2"/>
      <c r="C87" s="2"/>
      <c r="D87" s="2"/>
      <c r="E87" s="2"/>
      <c r="F87" s="2"/>
      <c r="G87" s="2"/>
      <c r="H87" s="2"/>
      <c r="I87" s="3"/>
      <c r="J87" s="3"/>
      <c r="K87" s="2"/>
      <c r="L87" s="54"/>
      <c r="P87" s="5"/>
      <c r="Q87" s="5"/>
      <c r="S87" s="6"/>
      <c r="T87" s="6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8"/>
      <c r="BP87" s="9"/>
    </row>
    <row r="88" s="4" customFormat="1">
      <c r="A88" s="2"/>
      <c r="B88" s="2"/>
      <c r="C88" s="2"/>
      <c r="D88" s="2"/>
      <c r="E88" s="2"/>
      <c r="F88" s="2"/>
      <c r="G88" s="2"/>
      <c r="H88" s="2"/>
      <c r="I88" s="3"/>
      <c r="J88" s="3"/>
      <c r="K88" s="2"/>
      <c r="L88" s="54"/>
      <c r="P88" s="5"/>
      <c r="Q88" s="5"/>
      <c r="S88" s="6"/>
      <c r="T88" s="6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8"/>
      <c r="BP88" s="9"/>
    </row>
    <row r="89" s="4" customFormat="1">
      <c r="A89" s="2"/>
      <c r="B89" s="2"/>
      <c r="C89" s="2"/>
      <c r="D89" s="2"/>
      <c r="E89" s="2"/>
      <c r="F89" s="2"/>
      <c r="G89" s="2"/>
      <c r="H89" s="2"/>
      <c r="I89" s="3"/>
      <c r="J89" s="3"/>
      <c r="K89" s="2"/>
      <c r="L89" s="54"/>
      <c r="P89" s="5"/>
      <c r="Q89" s="5"/>
      <c r="S89" s="6"/>
      <c r="T89" s="6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8"/>
      <c r="BP89" s="9"/>
    </row>
    <row r="90" s="4" customFormat="1">
      <c r="A90" s="2"/>
      <c r="B90" s="2"/>
      <c r="C90" s="2"/>
      <c r="D90" s="2"/>
      <c r="E90" s="2"/>
      <c r="F90" s="2"/>
      <c r="G90" s="2"/>
      <c r="H90" s="2"/>
      <c r="I90" s="3"/>
      <c r="J90" s="3"/>
      <c r="K90" s="2"/>
      <c r="L90" s="54"/>
      <c r="P90" s="5"/>
      <c r="Q90" s="5"/>
      <c r="S90" s="6"/>
      <c r="T90" s="6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8"/>
      <c r="BP90" s="9"/>
    </row>
    <row r="91" s="4" customFormat="1">
      <c r="A91" s="2"/>
      <c r="B91" s="2"/>
      <c r="C91" s="2"/>
      <c r="D91" s="2"/>
      <c r="E91" s="2"/>
      <c r="F91" s="2"/>
      <c r="G91" s="2"/>
      <c r="H91" s="2"/>
      <c r="I91" s="3"/>
      <c r="J91" s="3"/>
      <c r="K91" s="2"/>
      <c r="L91" s="54"/>
      <c r="P91" s="5"/>
      <c r="Q91" s="5"/>
      <c r="S91" s="6"/>
      <c r="T91" s="6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8"/>
      <c r="BP91" s="9"/>
    </row>
    <row r="92" s="4" customFormat="1">
      <c r="A92" s="2"/>
      <c r="B92" s="2"/>
      <c r="C92" s="2"/>
      <c r="D92" s="2"/>
      <c r="E92" s="2"/>
      <c r="F92" s="2"/>
      <c r="G92" s="2"/>
      <c r="H92" s="2"/>
      <c r="I92" s="3"/>
      <c r="J92" s="3"/>
      <c r="K92" s="2"/>
      <c r="L92" s="54"/>
      <c r="P92" s="5"/>
      <c r="Q92" s="5"/>
      <c r="S92" s="6"/>
      <c r="T92" s="6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8"/>
      <c r="BP92" s="9"/>
    </row>
    <row r="93" s="4" customFormat="1">
      <c r="A93" s="2"/>
      <c r="B93" s="2"/>
      <c r="C93" s="2"/>
      <c r="D93" s="2"/>
      <c r="E93" s="2"/>
      <c r="F93" s="2"/>
      <c r="G93" s="2"/>
      <c r="H93" s="2"/>
      <c r="I93" s="3"/>
      <c r="J93" s="3"/>
      <c r="K93" s="2"/>
      <c r="L93" s="54"/>
      <c r="P93" s="5"/>
      <c r="Q93" s="5"/>
      <c r="S93" s="6"/>
      <c r="T93" s="6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8"/>
      <c r="BP93" s="9"/>
    </row>
    <row r="94" s="4" customFormat="1">
      <c r="A94" s="2"/>
      <c r="B94" s="2"/>
      <c r="C94" s="2"/>
      <c r="D94" s="2"/>
      <c r="E94" s="2"/>
      <c r="F94" s="2"/>
      <c r="G94" s="2"/>
      <c r="H94" s="2"/>
      <c r="I94" s="3"/>
      <c r="J94" s="3"/>
      <c r="K94" s="2"/>
      <c r="L94" s="54"/>
      <c r="P94" s="5"/>
      <c r="Q94" s="5"/>
      <c r="S94" s="6"/>
      <c r="T94" s="6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8"/>
      <c r="BP94" s="9"/>
    </row>
    <row r="95" s="4" customFormat="1">
      <c r="A95" s="2"/>
      <c r="B95" s="2"/>
      <c r="C95" s="2"/>
      <c r="D95" s="2"/>
      <c r="E95" s="2"/>
      <c r="F95" s="2"/>
      <c r="G95" s="2"/>
      <c r="H95" s="2"/>
      <c r="I95" s="3"/>
      <c r="J95" s="3"/>
      <c r="K95" s="2"/>
      <c r="L95" s="54"/>
      <c r="P95" s="5"/>
      <c r="Q95" s="5"/>
      <c r="S95" s="6"/>
      <c r="T95" s="6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8"/>
      <c r="BP95" s="9"/>
    </row>
    <row r="96" s="4" customFormat="1">
      <c r="A96" s="2"/>
      <c r="B96" s="2"/>
      <c r="C96" s="2"/>
      <c r="D96" s="2"/>
      <c r="E96" s="2"/>
      <c r="F96" s="2"/>
      <c r="G96" s="2"/>
      <c r="H96" s="2"/>
      <c r="I96" s="3"/>
      <c r="J96" s="3"/>
      <c r="K96" s="2"/>
      <c r="L96" s="54"/>
      <c r="P96" s="5"/>
      <c r="Q96" s="5"/>
      <c r="S96" s="6"/>
      <c r="T96" s="6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8"/>
      <c r="BP96" s="9"/>
    </row>
    <row r="97" s="4" customFormat="1">
      <c r="A97" s="2"/>
      <c r="B97" s="2"/>
      <c r="C97" s="2"/>
      <c r="D97" s="2"/>
      <c r="E97" s="2"/>
      <c r="F97" s="2"/>
      <c r="G97" s="2"/>
      <c r="H97" s="2"/>
      <c r="I97" s="3"/>
      <c r="J97" s="3"/>
      <c r="K97" s="2"/>
      <c r="L97" s="54"/>
      <c r="P97" s="5"/>
      <c r="Q97" s="5"/>
      <c r="S97" s="6"/>
      <c r="T97" s="6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8"/>
      <c r="BP97" s="9"/>
    </row>
    <row r="98" s="4" customFormat="1">
      <c r="A98" s="2"/>
      <c r="B98" s="2"/>
      <c r="C98" s="2"/>
      <c r="D98" s="2"/>
      <c r="E98" s="2"/>
      <c r="F98" s="2"/>
      <c r="G98" s="2"/>
      <c r="H98" s="2"/>
      <c r="I98" s="3"/>
      <c r="J98" s="3"/>
      <c r="K98" s="2"/>
      <c r="L98" s="54"/>
      <c r="P98" s="5"/>
      <c r="Q98" s="5"/>
      <c r="S98" s="6"/>
      <c r="T98" s="6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8"/>
      <c r="BP98" s="9"/>
    </row>
    <row r="99" s="4" customFormat="1">
      <c r="A99" s="2"/>
      <c r="B99" s="2"/>
      <c r="C99" s="2"/>
      <c r="D99" s="2"/>
      <c r="E99" s="2"/>
      <c r="F99" s="2"/>
      <c r="G99" s="2"/>
      <c r="H99" s="2"/>
      <c r="I99" s="3"/>
      <c r="J99" s="3"/>
      <c r="K99" s="2"/>
      <c r="L99" s="54"/>
      <c r="P99" s="5"/>
      <c r="Q99" s="5"/>
      <c r="S99" s="6"/>
      <c r="T99" s="6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8"/>
      <c r="BP99" s="9"/>
    </row>
    <row r="100" s="4" customFormat="1">
      <c r="A100" s="2"/>
      <c r="B100" s="2"/>
      <c r="C100" s="2"/>
      <c r="D100" s="2"/>
      <c r="E100" s="2"/>
      <c r="F100" s="2"/>
      <c r="G100" s="2"/>
      <c r="H100" s="2"/>
      <c r="I100" s="3"/>
      <c r="J100" s="3"/>
      <c r="K100" s="2"/>
      <c r="L100" s="54"/>
      <c r="P100" s="5"/>
      <c r="Q100" s="5"/>
      <c r="S100" s="6"/>
      <c r="T100" s="6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8"/>
      <c r="BP100" s="9"/>
    </row>
    <row r="101" s="4" customFormat="1">
      <c r="A101" s="2"/>
      <c r="B101" s="2"/>
      <c r="C101" s="2"/>
      <c r="D101" s="2"/>
      <c r="E101" s="2"/>
      <c r="F101" s="2"/>
      <c r="G101" s="2"/>
      <c r="H101" s="2"/>
      <c r="I101" s="3"/>
      <c r="J101" s="3"/>
      <c r="K101" s="2"/>
      <c r="L101" s="54"/>
      <c r="P101" s="5"/>
      <c r="Q101" s="5"/>
      <c r="S101" s="6"/>
      <c r="T101" s="6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8"/>
      <c r="BP101" s="9"/>
    </row>
    <row r="102" s="4" customFormat="1">
      <c r="A102" s="2"/>
      <c r="B102" s="2"/>
      <c r="C102" s="2"/>
      <c r="D102" s="2"/>
      <c r="E102" s="2"/>
      <c r="F102" s="2"/>
      <c r="G102" s="2"/>
      <c r="H102" s="2"/>
      <c r="I102" s="3"/>
      <c r="J102" s="3"/>
      <c r="K102" s="2"/>
      <c r="L102" s="54"/>
      <c r="P102" s="5"/>
      <c r="Q102" s="5"/>
      <c r="S102" s="6"/>
      <c r="T102" s="6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8"/>
      <c r="BP102" s="9"/>
    </row>
    <row r="103" s="4" customFormat="1">
      <c r="A103" s="2"/>
      <c r="B103" s="2"/>
      <c r="C103" s="2"/>
      <c r="D103" s="2"/>
      <c r="E103" s="2"/>
      <c r="F103" s="2"/>
      <c r="G103" s="2"/>
      <c r="H103" s="2"/>
      <c r="I103" s="3"/>
      <c r="J103" s="3"/>
      <c r="K103" s="2"/>
      <c r="L103" s="54"/>
      <c r="P103" s="5"/>
      <c r="Q103" s="5"/>
      <c r="S103" s="6"/>
      <c r="T103" s="6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8"/>
      <c r="BP103" s="9"/>
    </row>
    <row r="104" s="4" customFormat="1">
      <c r="A104" s="2"/>
      <c r="B104" s="2"/>
      <c r="C104" s="2"/>
      <c r="D104" s="2"/>
      <c r="E104" s="2"/>
      <c r="F104" s="2"/>
      <c r="G104" s="2"/>
      <c r="H104" s="2"/>
      <c r="I104" s="3"/>
      <c r="J104" s="3"/>
      <c r="K104" s="2"/>
      <c r="L104" s="54"/>
      <c r="P104" s="5"/>
      <c r="Q104" s="5"/>
      <c r="S104" s="6"/>
      <c r="T104" s="6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8"/>
      <c r="BP104" s="9"/>
    </row>
    <row r="105" s="4" customFormat="1">
      <c r="A105" s="2"/>
      <c r="B105" s="2"/>
      <c r="C105" s="2"/>
      <c r="D105" s="2"/>
      <c r="E105" s="2"/>
      <c r="F105" s="2"/>
      <c r="G105" s="2"/>
      <c r="H105" s="2"/>
      <c r="I105" s="3"/>
      <c r="J105" s="3"/>
      <c r="K105" s="2"/>
      <c r="L105" s="54"/>
      <c r="P105" s="5"/>
      <c r="Q105" s="5"/>
      <c r="S105" s="6"/>
      <c r="T105" s="6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8"/>
      <c r="BP105" s="9"/>
    </row>
    <row r="106" s="4" customFormat="1">
      <c r="A106" s="2"/>
      <c r="B106" s="2"/>
      <c r="C106" s="2"/>
      <c r="D106" s="2"/>
      <c r="E106" s="2"/>
      <c r="F106" s="2"/>
      <c r="G106" s="2"/>
      <c r="H106" s="2"/>
      <c r="I106" s="3"/>
      <c r="J106" s="3"/>
      <c r="K106" s="2"/>
      <c r="L106" s="54"/>
      <c r="P106" s="5"/>
      <c r="Q106" s="5"/>
      <c r="S106" s="6"/>
      <c r="T106" s="6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8"/>
      <c r="BP106" s="9"/>
    </row>
    <row r="107" s="4" customFormat="1">
      <c r="A107" s="2"/>
      <c r="B107" s="2"/>
      <c r="C107" s="2"/>
      <c r="D107" s="2"/>
      <c r="E107" s="2"/>
      <c r="F107" s="2"/>
      <c r="G107" s="2"/>
      <c r="H107" s="2"/>
      <c r="I107" s="3"/>
      <c r="J107" s="3"/>
      <c r="K107" s="2"/>
      <c r="L107" s="54"/>
      <c r="P107" s="5"/>
      <c r="Q107" s="5"/>
      <c r="S107" s="6"/>
      <c r="T107" s="6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8"/>
      <c r="BP107" s="9"/>
    </row>
    <row r="108" s="4" customFormat="1">
      <c r="A108" s="2"/>
      <c r="B108" s="2"/>
      <c r="C108" s="2"/>
      <c r="D108" s="2"/>
      <c r="E108" s="2"/>
      <c r="F108" s="2"/>
      <c r="G108" s="2"/>
      <c r="H108" s="2"/>
      <c r="I108" s="3"/>
      <c r="J108" s="3"/>
      <c r="K108" s="2"/>
      <c r="L108" s="54"/>
      <c r="P108" s="5"/>
      <c r="Q108" s="5"/>
      <c r="S108" s="6"/>
      <c r="T108" s="6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8"/>
      <c r="BP108" s="9"/>
    </row>
    <row r="109" s="4" customFormat="1">
      <c r="A109" s="2"/>
      <c r="B109" s="2"/>
      <c r="C109" s="2"/>
      <c r="D109" s="2"/>
      <c r="E109" s="2"/>
      <c r="F109" s="2"/>
      <c r="G109" s="2"/>
      <c r="H109" s="2"/>
      <c r="I109" s="3"/>
      <c r="J109" s="3"/>
      <c r="K109" s="2"/>
      <c r="L109" s="54"/>
      <c r="P109" s="5"/>
      <c r="Q109" s="5"/>
      <c r="S109" s="6"/>
      <c r="T109" s="6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8"/>
      <c r="BP109" s="9"/>
    </row>
    <row r="110" s="4" customFormat="1">
      <c r="A110" s="2"/>
      <c r="B110" s="2"/>
      <c r="C110" s="2"/>
      <c r="D110" s="2"/>
      <c r="E110" s="2"/>
      <c r="F110" s="2"/>
      <c r="G110" s="2"/>
      <c r="H110" s="2"/>
      <c r="I110" s="3"/>
      <c r="J110" s="3"/>
      <c r="K110" s="2"/>
      <c r="L110" s="54"/>
      <c r="P110" s="5"/>
      <c r="Q110" s="5"/>
      <c r="S110" s="6"/>
      <c r="T110" s="6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8"/>
      <c r="BP110" s="9"/>
    </row>
    <row r="111" s="4" customFormat="1">
      <c r="A111" s="2"/>
      <c r="B111" s="2"/>
      <c r="C111" s="2"/>
      <c r="D111" s="2"/>
      <c r="E111" s="2"/>
      <c r="F111" s="2"/>
      <c r="G111" s="2"/>
      <c r="H111" s="2"/>
      <c r="I111" s="3"/>
      <c r="J111" s="3"/>
      <c r="K111" s="2"/>
      <c r="L111" s="54"/>
      <c r="P111" s="5"/>
      <c r="Q111" s="5"/>
      <c r="S111" s="6"/>
      <c r="T111" s="6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8"/>
      <c r="BP111" s="9"/>
    </row>
    <row r="112" s="4" customFormat="1">
      <c r="A112" s="2"/>
      <c r="B112" s="2"/>
      <c r="C112" s="2"/>
      <c r="D112" s="2"/>
      <c r="E112" s="2"/>
      <c r="F112" s="2"/>
      <c r="G112" s="2"/>
      <c r="H112" s="2"/>
      <c r="I112" s="3"/>
      <c r="J112" s="3"/>
      <c r="K112" s="2"/>
      <c r="L112" s="54"/>
      <c r="P112" s="5"/>
      <c r="Q112" s="5"/>
      <c r="S112" s="6"/>
      <c r="T112" s="6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8"/>
      <c r="BP112" s="9"/>
    </row>
    <row r="113" s="4" customFormat="1">
      <c r="A113" s="2"/>
      <c r="B113" s="2"/>
      <c r="C113" s="2"/>
      <c r="D113" s="2"/>
      <c r="E113" s="2"/>
      <c r="F113" s="2"/>
      <c r="G113" s="2"/>
      <c r="H113" s="2"/>
      <c r="I113" s="3"/>
      <c r="J113" s="3"/>
      <c r="K113" s="2"/>
      <c r="L113" s="54"/>
      <c r="P113" s="5"/>
      <c r="Q113" s="5"/>
      <c r="S113" s="6"/>
      <c r="T113" s="6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8"/>
      <c r="BP113" s="9"/>
    </row>
    <row r="114" s="4" customFormat="1">
      <c r="A114" s="2"/>
      <c r="B114" s="2"/>
      <c r="C114" s="2"/>
      <c r="D114" s="2"/>
      <c r="E114" s="2"/>
      <c r="F114" s="2"/>
      <c r="G114" s="2"/>
      <c r="H114" s="2"/>
      <c r="I114" s="3"/>
      <c r="J114" s="3"/>
      <c r="K114" s="2"/>
      <c r="L114" s="54"/>
      <c r="P114" s="5"/>
      <c r="Q114" s="5"/>
      <c r="S114" s="6"/>
      <c r="T114" s="6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8"/>
      <c r="BP114" s="9"/>
    </row>
    <row r="115" s="4" customFormat="1">
      <c r="A115" s="2"/>
      <c r="B115" s="2"/>
      <c r="C115" s="2"/>
      <c r="D115" s="2"/>
      <c r="E115" s="2"/>
      <c r="F115" s="2"/>
      <c r="G115" s="2"/>
      <c r="H115" s="2"/>
      <c r="I115" s="3"/>
      <c r="J115" s="3"/>
      <c r="K115" s="2"/>
      <c r="L115" s="54"/>
      <c r="P115" s="5"/>
      <c r="Q115" s="5"/>
      <c r="S115" s="6"/>
      <c r="T115" s="6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8"/>
      <c r="BP115" s="9"/>
    </row>
    <row r="116" s="4" customFormat="1">
      <c r="A116" s="2"/>
      <c r="B116" s="2"/>
      <c r="C116" s="2"/>
      <c r="D116" s="2"/>
      <c r="E116" s="2"/>
      <c r="F116" s="2"/>
      <c r="G116" s="2"/>
      <c r="H116" s="2"/>
      <c r="I116" s="3"/>
      <c r="J116" s="3"/>
      <c r="K116" s="2"/>
      <c r="L116" s="54"/>
      <c r="P116" s="5"/>
      <c r="Q116" s="5"/>
      <c r="S116" s="6"/>
      <c r="T116" s="6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8"/>
      <c r="BP116" s="9"/>
    </row>
    <row r="117" s="4" customFormat="1">
      <c r="A117" s="2"/>
      <c r="B117" s="2"/>
      <c r="C117" s="2"/>
      <c r="D117" s="2"/>
      <c r="E117" s="2"/>
      <c r="F117" s="2"/>
      <c r="G117" s="2"/>
      <c r="H117" s="2"/>
      <c r="I117" s="3"/>
      <c r="J117" s="3"/>
      <c r="K117" s="2"/>
      <c r="L117" s="54"/>
      <c r="P117" s="5"/>
      <c r="Q117" s="5"/>
      <c r="S117" s="6"/>
      <c r="T117" s="6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8"/>
      <c r="BP117" s="9"/>
    </row>
    <row r="118" s="4" customFormat="1">
      <c r="A118" s="2"/>
      <c r="B118" s="2"/>
      <c r="C118" s="2"/>
      <c r="D118" s="2"/>
      <c r="E118" s="2"/>
      <c r="F118" s="2"/>
      <c r="G118" s="2"/>
      <c r="H118" s="2"/>
      <c r="I118" s="3"/>
      <c r="J118" s="3"/>
      <c r="K118" s="2"/>
      <c r="L118" s="54"/>
      <c r="P118" s="5"/>
      <c r="Q118" s="5"/>
      <c r="S118" s="6"/>
      <c r="T118" s="6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8"/>
      <c r="BP118" s="9"/>
    </row>
    <row r="119" s="4" customFormat="1">
      <c r="A119" s="2"/>
      <c r="B119" s="2"/>
      <c r="C119" s="2"/>
      <c r="D119" s="2"/>
      <c r="E119" s="2"/>
      <c r="F119" s="2"/>
      <c r="G119" s="2"/>
      <c r="H119" s="2"/>
      <c r="I119" s="3"/>
      <c r="J119" s="3"/>
      <c r="K119" s="2"/>
      <c r="L119" s="54"/>
      <c r="P119" s="5"/>
      <c r="Q119" s="5"/>
      <c r="S119" s="6"/>
      <c r="T119" s="6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8"/>
      <c r="BP119" s="9"/>
    </row>
    <row r="120" s="4" customFormat="1">
      <c r="A120" s="2"/>
      <c r="B120" s="2"/>
      <c r="C120" s="2"/>
      <c r="D120" s="2"/>
      <c r="E120" s="2"/>
      <c r="F120" s="2"/>
      <c r="G120" s="2"/>
      <c r="H120" s="2"/>
      <c r="I120" s="3"/>
      <c r="J120" s="3"/>
      <c r="K120" s="2"/>
      <c r="L120" s="54"/>
      <c r="P120" s="5"/>
      <c r="Q120" s="5"/>
      <c r="S120" s="6"/>
      <c r="T120" s="6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8"/>
      <c r="BP120" s="9"/>
    </row>
    <row r="121" s="4" customFormat="1">
      <c r="A121" s="2"/>
      <c r="B121" s="2"/>
      <c r="C121" s="2"/>
      <c r="D121" s="2"/>
      <c r="E121" s="2"/>
      <c r="F121" s="2"/>
      <c r="G121" s="2"/>
      <c r="H121" s="2"/>
      <c r="I121" s="3"/>
      <c r="J121" s="3"/>
      <c r="K121" s="2"/>
      <c r="L121" s="54"/>
      <c r="P121" s="5"/>
      <c r="Q121" s="5"/>
      <c r="S121" s="6"/>
      <c r="T121" s="6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8"/>
      <c r="BP121" s="9"/>
    </row>
    <row r="122" s="4" customFormat="1">
      <c r="A122" s="2"/>
      <c r="B122" s="2"/>
      <c r="C122" s="2"/>
      <c r="D122" s="2"/>
      <c r="E122" s="2"/>
      <c r="F122" s="2"/>
      <c r="G122" s="2"/>
      <c r="H122" s="2"/>
      <c r="I122" s="3"/>
      <c r="J122" s="3"/>
      <c r="K122" s="2"/>
      <c r="L122" s="54"/>
      <c r="P122" s="5"/>
      <c r="Q122" s="5"/>
      <c r="S122" s="6"/>
      <c r="T122" s="6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8"/>
      <c r="BP122" s="9"/>
    </row>
    <row r="123" s="4" customFormat="1">
      <c r="A123" s="2"/>
      <c r="B123" s="2"/>
      <c r="C123" s="2"/>
      <c r="D123" s="2"/>
      <c r="E123" s="2"/>
      <c r="F123" s="2"/>
      <c r="G123" s="2"/>
      <c r="H123" s="2"/>
      <c r="I123" s="3"/>
      <c r="J123" s="3"/>
      <c r="K123" s="2"/>
      <c r="L123" s="54"/>
      <c r="P123" s="5"/>
      <c r="Q123" s="5"/>
      <c r="S123" s="6"/>
      <c r="T123" s="6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8"/>
      <c r="BP123" s="9"/>
    </row>
    <row r="124" s="4" customFormat="1">
      <c r="A124" s="2"/>
      <c r="B124" s="2"/>
      <c r="C124" s="2"/>
      <c r="D124" s="2"/>
      <c r="E124" s="2"/>
      <c r="F124" s="2"/>
      <c r="G124" s="2"/>
      <c r="H124" s="2"/>
      <c r="I124" s="3"/>
      <c r="J124" s="3"/>
      <c r="K124" s="2"/>
      <c r="L124" s="54"/>
      <c r="P124" s="5"/>
      <c r="Q124" s="5"/>
      <c r="S124" s="6"/>
      <c r="T124" s="6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8"/>
      <c r="BP124" s="9"/>
    </row>
    <row r="125" s="4" customFormat="1">
      <c r="A125" s="2"/>
      <c r="B125" s="2"/>
      <c r="C125" s="2"/>
      <c r="D125" s="2"/>
      <c r="E125" s="2"/>
      <c r="F125" s="2"/>
      <c r="G125" s="2"/>
      <c r="H125" s="2"/>
      <c r="I125" s="3"/>
      <c r="J125" s="3"/>
      <c r="K125" s="2"/>
      <c r="L125" s="54"/>
      <c r="P125" s="5"/>
      <c r="Q125" s="5"/>
      <c r="S125" s="6"/>
      <c r="T125" s="6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8"/>
      <c r="BP125" s="9"/>
    </row>
    <row r="126" s="4" customFormat="1">
      <c r="A126" s="2"/>
      <c r="B126" s="2"/>
      <c r="C126" s="2"/>
      <c r="D126" s="2"/>
      <c r="E126" s="2"/>
      <c r="F126" s="2"/>
      <c r="G126" s="2"/>
      <c r="H126" s="2"/>
      <c r="I126" s="3"/>
      <c r="J126" s="3"/>
      <c r="K126" s="2"/>
      <c r="L126" s="54"/>
      <c r="P126" s="5"/>
      <c r="Q126" s="5"/>
      <c r="S126" s="6"/>
      <c r="T126" s="6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8"/>
      <c r="BP126" s="9"/>
    </row>
    <row r="127" s="4" customFormat="1">
      <c r="A127" s="2"/>
      <c r="B127" s="2"/>
      <c r="C127" s="2"/>
      <c r="D127" s="2"/>
      <c r="E127" s="2"/>
      <c r="F127" s="2"/>
      <c r="G127" s="2"/>
      <c r="H127" s="2"/>
      <c r="I127" s="3"/>
      <c r="J127" s="3"/>
      <c r="K127" s="2"/>
      <c r="L127" s="54"/>
      <c r="P127" s="5"/>
      <c r="Q127" s="5"/>
      <c r="S127" s="6"/>
      <c r="T127" s="6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8"/>
      <c r="BP127" s="9"/>
    </row>
    <row r="128" s="4" customFormat="1">
      <c r="A128" s="2"/>
      <c r="B128" s="2"/>
      <c r="C128" s="2"/>
      <c r="D128" s="2"/>
      <c r="E128" s="2"/>
      <c r="F128" s="2"/>
      <c r="G128" s="2"/>
      <c r="H128" s="2"/>
      <c r="I128" s="3"/>
      <c r="J128" s="3"/>
      <c r="K128" s="2"/>
      <c r="L128" s="54"/>
      <c r="P128" s="5"/>
      <c r="Q128" s="5"/>
      <c r="S128" s="6"/>
      <c r="T128" s="6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8"/>
      <c r="BP128" s="9"/>
    </row>
    <row r="129" s="4" customFormat="1">
      <c r="A129" s="2"/>
      <c r="B129" s="2"/>
      <c r="C129" s="2"/>
      <c r="D129" s="2"/>
      <c r="E129" s="2"/>
      <c r="F129" s="2"/>
      <c r="G129" s="2"/>
      <c r="H129" s="2"/>
      <c r="I129" s="3"/>
      <c r="J129" s="3"/>
      <c r="K129" s="2"/>
      <c r="L129" s="54"/>
      <c r="P129" s="5"/>
      <c r="Q129" s="5"/>
      <c r="S129" s="6"/>
      <c r="T129" s="6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8"/>
      <c r="BP129" s="9"/>
    </row>
    <row r="130" s="4" customFormat="1">
      <c r="A130" s="2"/>
      <c r="B130" s="2"/>
      <c r="C130" s="2"/>
      <c r="D130" s="2"/>
      <c r="E130" s="2"/>
      <c r="F130" s="2"/>
      <c r="G130" s="2"/>
      <c r="H130" s="2"/>
      <c r="I130" s="3"/>
      <c r="J130" s="3"/>
      <c r="K130" s="2"/>
      <c r="L130" s="54"/>
      <c r="P130" s="5"/>
      <c r="Q130" s="5"/>
      <c r="S130" s="6"/>
      <c r="T130" s="6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8"/>
      <c r="BP130" s="9"/>
    </row>
    <row r="131" s="4" customFormat="1">
      <c r="A131" s="2"/>
      <c r="B131" s="2"/>
      <c r="C131" s="2"/>
      <c r="D131" s="2"/>
      <c r="E131" s="2"/>
      <c r="F131" s="2"/>
      <c r="G131" s="2"/>
      <c r="H131" s="2"/>
      <c r="I131" s="3"/>
      <c r="J131" s="3"/>
      <c r="K131" s="2"/>
      <c r="L131" s="54"/>
      <c r="P131" s="5"/>
      <c r="Q131" s="5"/>
      <c r="S131" s="6"/>
      <c r="T131" s="6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8"/>
      <c r="BP131" s="9"/>
    </row>
    <row r="132" s="4" customFormat="1">
      <c r="A132" s="2"/>
      <c r="B132" s="2"/>
      <c r="C132" s="2"/>
      <c r="D132" s="2"/>
      <c r="E132" s="2"/>
      <c r="F132" s="2"/>
      <c r="G132" s="2"/>
      <c r="H132" s="2"/>
      <c r="I132" s="3"/>
      <c r="J132" s="3"/>
      <c r="K132" s="2"/>
      <c r="L132" s="54"/>
      <c r="P132" s="5"/>
      <c r="Q132" s="5"/>
      <c r="S132" s="6"/>
      <c r="T132" s="6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8"/>
      <c r="BP132" s="9"/>
    </row>
    <row r="133" s="4" customFormat="1">
      <c r="A133" s="2"/>
      <c r="B133" s="2"/>
      <c r="C133" s="2"/>
      <c r="D133" s="2"/>
      <c r="E133" s="2"/>
      <c r="F133" s="2"/>
      <c r="G133" s="2"/>
      <c r="H133" s="2"/>
      <c r="I133" s="3"/>
      <c r="J133" s="3"/>
      <c r="K133" s="2"/>
      <c r="L133" s="54"/>
      <c r="P133" s="5"/>
      <c r="Q133" s="5"/>
      <c r="S133" s="6"/>
      <c r="T133" s="6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8"/>
      <c r="BP133" s="9"/>
    </row>
    <row r="134" s="4" customFormat="1">
      <c r="A134" s="2"/>
      <c r="B134" s="2"/>
      <c r="C134" s="2"/>
      <c r="D134" s="2"/>
      <c r="E134" s="2"/>
      <c r="F134" s="2"/>
      <c r="G134" s="2"/>
      <c r="H134" s="2"/>
      <c r="I134" s="3"/>
      <c r="J134" s="3"/>
      <c r="K134" s="2"/>
      <c r="L134" s="54"/>
      <c r="P134" s="5"/>
      <c r="Q134" s="5"/>
      <c r="S134" s="6"/>
      <c r="T134" s="6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8"/>
      <c r="BP134" s="9"/>
    </row>
    <row r="135" s="4" customFormat="1">
      <c r="A135" s="2"/>
      <c r="B135" s="2"/>
      <c r="C135" s="2"/>
      <c r="D135" s="2"/>
      <c r="E135" s="2"/>
      <c r="F135" s="2"/>
      <c r="G135" s="2"/>
      <c r="H135" s="2"/>
      <c r="I135" s="3"/>
      <c r="J135" s="3"/>
      <c r="K135" s="2"/>
      <c r="L135" s="54"/>
      <c r="P135" s="5"/>
      <c r="Q135" s="5"/>
      <c r="S135" s="6"/>
      <c r="T135" s="6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8"/>
      <c r="BP135" s="9"/>
    </row>
    <row r="136" s="4" customFormat="1">
      <c r="A136" s="2"/>
      <c r="B136" s="2"/>
      <c r="C136" s="2"/>
      <c r="D136" s="2"/>
      <c r="E136" s="2"/>
      <c r="F136" s="2"/>
      <c r="G136" s="2"/>
      <c r="H136" s="2"/>
      <c r="I136" s="3"/>
      <c r="J136" s="3"/>
      <c r="K136" s="2"/>
      <c r="L136" s="54"/>
      <c r="P136" s="5"/>
      <c r="Q136" s="5"/>
      <c r="S136" s="6"/>
      <c r="T136" s="6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8"/>
      <c r="BP136" s="9"/>
    </row>
    <row r="137" s="4" customFormat="1">
      <c r="A137" s="2"/>
      <c r="B137" s="2"/>
      <c r="C137" s="2"/>
      <c r="D137" s="2"/>
      <c r="E137" s="2"/>
      <c r="F137" s="2"/>
      <c r="G137" s="2"/>
      <c r="H137" s="2"/>
      <c r="I137" s="3"/>
      <c r="J137" s="3"/>
      <c r="K137" s="2"/>
      <c r="L137" s="54"/>
      <c r="P137" s="5"/>
      <c r="Q137" s="5"/>
      <c r="S137" s="6"/>
      <c r="T137" s="6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8"/>
      <c r="BP137" s="9"/>
    </row>
    <row r="138" s="4" customFormat="1">
      <c r="A138" s="2"/>
      <c r="B138" s="2"/>
      <c r="C138" s="2"/>
      <c r="D138" s="2"/>
      <c r="E138" s="2"/>
      <c r="F138" s="2"/>
      <c r="G138" s="2"/>
      <c r="H138" s="2"/>
      <c r="I138" s="3"/>
      <c r="J138" s="3"/>
      <c r="K138" s="2"/>
      <c r="L138" s="54"/>
      <c r="P138" s="5"/>
      <c r="Q138" s="5"/>
      <c r="S138" s="6"/>
      <c r="T138" s="6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8"/>
      <c r="BP138" s="9"/>
    </row>
    <row r="139" s="4" customFormat="1">
      <c r="A139" s="2"/>
      <c r="B139" s="2"/>
      <c r="C139" s="2"/>
      <c r="D139" s="2"/>
      <c r="E139" s="2"/>
      <c r="F139" s="2"/>
      <c r="G139" s="2"/>
      <c r="H139" s="2"/>
      <c r="I139" s="3"/>
      <c r="J139" s="3"/>
      <c r="K139" s="2"/>
      <c r="L139" s="54"/>
      <c r="P139" s="5"/>
      <c r="Q139" s="5"/>
      <c r="S139" s="6"/>
      <c r="T139" s="6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8"/>
      <c r="BP139" s="9"/>
    </row>
    <row r="140" s="4" customFormat="1">
      <c r="A140" s="2"/>
      <c r="B140" s="2"/>
      <c r="C140" s="2"/>
      <c r="D140" s="2"/>
      <c r="E140" s="2"/>
      <c r="F140" s="2"/>
      <c r="G140" s="2"/>
      <c r="H140" s="2"/>
      <c r="I140" s="3"/>
      <c r="J140" s="3"/>
      <c r="K140" s="2"/>
      <c r="L140" s="54"/>
      <c r="P140" s="5"/>
      <c r="Q140" s="5"/>
      <c r="S140" s="6"/>
      <c r="T140" s="6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8"/>
      <c r="BP140" s="9"/>
    </row>
    <row r="141" s="4" customFormat="1">
      <c r="A141" s="2"/>
      <c r="B141" s="2"/>
      <c r="C141" s="2"/>
      <c r="D141" s="2"/>
      <c r="E141" s="2"/>
      <c r="F141" s="2"/>
      <c r="G141" s="2"/>
      <c r="H141" s="2"/>
      <c r="I141" s="3"/>
      <c r="J141" s="3"/>
      <c r="K141" s="2"/>
      <c r="L141" s="54"/>
      <c r="P141" s="5"/>
      <c r="Q141" s="5"/>
      <c r="S141" s="6"/>
      <c r="T141" s="6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8"/>
      <c r="BP141" s="9"/>
    </row>
    <row r="142" s="4" customFormat="1">
      <c r="A142" s="2"/>
      <c r="B142" s="2"/>
      <c r="C142" s="2"/>
      <c r="D142" s="2"/>
      <c r="E142" s="2"/>
      <c r="F142" s="2"/>
      <c r="G142" s="2"/>
      <c r="H142" s="2"/>
      <c r="I142" s="3"/>
      <c r="J142" s="3"/>
      <c r="K142" s="2"/>
      <c r="L142" s="54"/>
      <c r="P142" s="5"/>
      <c r="Q142" s="5"/>
      <c r="S142" s="6"/>
      <c r="T142" s="6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8"/>
      <c r="BP142" s="9"/>
    </row>
    <row r="143" s="4" customFormat="1">
      <c r="A143" s="2"/>
      <c r="B143" s="2"/>
      <c r="C143" s="2"/>
      <c r="D143" s="2"/>
      <c r="E143" s="2"/>
      <c r="F143" s="2"/>
      <c r="G143" s="2"/>
      <c r="H143" s="2"/>
      <c r="I143" s="3"/>
      <c r="J143" s="3"/>
      <c r="K143" s="2"/>
      <c r="L143" s="54"/>
      <c r="P143" s="5"/>
      <c r="Q143" s="5"/>
      <c r="S143" s="6"/>
      <c r="T143" s="6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8"/>
      <c r="BP143" s="9"/>
    </row>
    <row r="144" s="4" customFormat="1">
      <c r="A144" s="2"/>
      <c r="B144" s="2"/>
      <c r="C144" s="2"/>
      <c r="D144" s="2"/>
      <c r="E144" s="2"/>
      <c r="F144" s="2"/>
      <c r="G144" s="2"/>
      <c r="H144" s="2"/>
      <c r="I144" s="3"/>
      <c r="J144" s="3"/>
      <c r="K144" s="2"/>
      <c r="L144" s="54"/>
      <c r="P144" s="5"/>
      <c r="Q144" s="5"/>
      <c r="S144" s="6"/>
      <c r="T144" s="6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8"/>
      <c r="BP144" s="9"/>
    </row>
    <row r="145" s="4" customFormat="1">
      <c r="A145" s="2"/>
      <c r="B145" s="2"/>
      <c r="C145" s="2"/>
      <c r="D145" s="2"/>
      <c r="E145" s="2"/>
      <c r="F145" s="2"/>
      <c r="G145" s="2"/>
      <c r="H145" s="2"/>
      <c r="I145" s="3"/>
      <c r="J145" s="3"/>
      <c r="K145" s="2"/>
      <c r="L145" s="54"/>
      <c r="P145" s="5"/>
      <c r="Q145" s="5"/>
      <c r="S145" s="6"/>
      <c r="T145" s="6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8"/>
      <c r="BP145" s="9"/>
    </row>
    <row r="146" s="4" customFormat="1">
      <c r="A146" s="2"/>
      <c r="B146" s="2"/>
      <c r="C146" s="2"/>
      <c r="D146" s="2"/>
      <c r="E146" s="2"/>
      <c r="F146" s="2"/>
      <c r="G146" s="2"/>
      <c r="H146" s="2"/>
      <c r="I146" s="3"/>
      <c r="J146" s="3"/>
      <c r="K146" s="2"/>
      <c r="L146" s="54"/>
      <c r="P146" s="5"/>
      <c r="Q146" s="5"/>
      <c r="S146" s="6"/>
      <c r="T146" s="6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8"/>
      <c r="BP146" s="9"/>
    </row>
    <row r="147" s="4" customFormat="1">
      <c r="A147" s="2"/>
      <c r="B147" s="2"/>
      <c r="C147" s="2"/>
      <c r="D147" s="2"/>
      <c r="E147" s="2"/>
      <c r="F147" s="2"/>
      <c r="G147" s="2"/>
      <c r="H147" s="2"/>
      <c r="I147" s="3"/>
      <c r="J147" s="3"/>
      <c r="K147" s="2"/>
      <c r="L147" s="54"/>
      <c r="P147" s="5"/>
      <c r="Q147" s="5"/>
      <c r="S147" s="6"/>
      <c r="T147" s="6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8"/>
      <c r="BP147" s="9"/>
    </row>
    <row r="148" s="4" customFormat="1">
      <c r="A148" s="2"/>
      <c r="B148" s="2"/>
      <c r="C148" s="2"/>
      <c r="D148" s="2"/>
      <c r="E148" s="2"/>
      <c r="F148" s="2"/>
      <c r="G148" s="2"/>
      <c r="H148" s="2"/>
      <c r="I148" s="3"/>
      <c r="J148" s="3"/>
      <c r="K148" s="2"/>
      <c r="L148" s="54"/>
      <c r="P148" s="5"/>
      <c r="Q148" s="5"/>
      <c r="S148" s="6"/>
      <c r="T148" s="6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8"/>
      <c r="BP148" s="9"/>
    </row>
    <row r="149" s="4" customFormat="1">
      <c r="A149" s="2"/>
      <c r="B149" s="2"/>
      <c r="C149" s="2"/>
      <c r="D149" s="2"/>
      <c r="E149" s="2"/>
      <c r="F149" s="2"/>
      <c r="G149" s="2"/>
      <c r="H149" s="2"/>
      <c r="I149" s="3"/>
      <c r="J149" s="3"/>
      <c r="K149" s="2"/>
      <c r="L149" s="54"/>
      <c r="P149" s="5"/>
      <c r="Q149" s="5"/>
      <c r="S149" s="6"/>
      <c r="T149" s="6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8"/>
      <c r="BP149" s="9"/>
    </row>
    <row r="150" s="4" customFormat="1">
      <c r="A150" s="2"/>
      <c r="B150" s="2"/>
      <c r="C150" s="2"/>
      <c r="D150" s="2"/>
      <c r="E150" s="2"/>
      <c r="F150" s="2"/>
      <c r="G150" s="2"/>
      <c r="H150" s="2"/>
      <c r="I150" s="3"/>
      <c r="J150" s="3"/>
      <c r="K150" s="2"/>
      <c r="L150" s="54"/>
      <c r="P150" s="5"/>
      <c r="Q150" s="5"/>
      <c r="S150" s="6"/>
      <c r="T150" s="6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8"/>
      <c r="BP150" s="9"/>
    </row>
    <row r="151" s="4" customFormat="1">
      <c r="A151" s="2"/>
      <c r="B151" s="2"/>
      <c r="C151" s="2"/>
      <c r="D151" s="2"/>
      <c r="E151" s="2"/>
      <c r="F151" s="2"/>
      <c r="G151" s="2"/>
      <c r="H151" s="2"/>
      <c r="I151" s="3"/>
      <c r="J151" s="3"/>
      <c r="K151" s="2"/>
      <c r="L151" s="54"/>
      <c r="P151" s="5"/>
      <c r="Q151" s="5"/>
      <c r="S151" s="6"/>
      <c r="T151" s="6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8"/>
      <c r="BP151" s="9"/>
    </row>
    <row r="152" s="4" customFormat="1">
      <c r="A152" s="2"/>
      <c r="B152" s="2"/>
      <c r="C152" s="2"/>
      <c r="D152" s="2"/>
      <c r="E152" s="2"/>
      <c r="F152" s="2"/>
      <c r="G152" s="2"/>
      <c r="H152" s="2"/>
      <c r="I152" s="3"/>
      <c r="J152" s="3"/>
      <c r="K152" s="2"/>
      <c r="L152" s="54"/>
      <c r="P152" s="5"/>
      <c r="Q152" s="5"/>
      <c r="S152" s="6"/>
      <c r="T152" s="6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8"/>
      <c r="BP152" s="9"/>
    </row>
    <row r="153" s="4" customFormat="1">
      <c r="A153" s="2"/>
      <c r="B153" s="2"/>
      <c r="C153" s="2"/>
      <c r="D153" s="2"/>
      <c r="E153" s="2"/>
      <c r="F153" s="2"/>
      <c r="G153" s="2"/>
      <c r="H153" s="2"/>
      <c r="I153" s="3"/>
      <c r="J153" s="3"/>
      <c r="K153" s="2"/>
      <c r="L153" s="54"/>
      <c r="P153" s="5"/>
      <c r="Q153" s="5"/>
      <c r="S153" s="6"/>
      <c r="T153" s="6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8"/>
      <c r="BP153" s="9"/>
    </row>
    <row r="154" s="4" customFormat="1">
      <c r="A154" s="2"/>
      <c r="B154" s="2"/>
      <c r="C154" s="2"/>
      <c r="D154" s="2"/>
      <c r="E154" s="2"/>
      <c r="F154" s="2"/>
      <c r="G154" s="2"/>
      <c r="H154" s="2"/>
      <c r="I154" s="3"/>
      <c r="J154" s="3"/>
      <c r="K154" s="2"/>
      <c r="L154" s="54"/>
      <c r="P154" s="5"/>
      <c r="Q154" s="5"/>
      <c r="S154" s="6"/>
      <c r="T154" s="6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8"/>
      <c r="BP154" s="9"/>
    </row>
    <row r="155" s="4" customFormat="1">
      <c r="A155" s="2"/>
      <c r="B155" s="2"/>
      <c r="C155" s="2"/>
      <c r="D155" s="2"/>
      <c r="E155" s="2"/>
      <c r="F155" s="2"/>
      <c r="G155" s="2"/>
      <c r="H155" s="2"/>
      <c r="I155" s="3"/>
      <c r="J155" s="3"/>
      <c r="K155" s="2"/>
      <c r="L155" s="54"/>
      <c r="P155" s="5"/>
      <c r="Q155" s="5"/>
      <c r="S155" s="6"/>
      <c r="T155" s="6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8"/>
      <c r="BP155" s="9"/>
    </row>
    <row r="156" s="4" customFormat="1">
      <c r="A156" s="2"/>
      <c r="B156" s="2"/>
      <c r="C156" s="2"/>
      <c r="D156" s="2"/>
      <c r="E156" s="2"/>
      <c r="F156" s="2"/>
      <c r="G156" s="2"/>
      <c r="H156" s="2"/>
      <c r="I156" s="3"/>
      <c r="J156" s="3"/>
      <c r="K156" s="2"/>
      <c r="L156" s="54"/>
      <c r="P156" s="5"/>
      <c r="Q156" s="5"/>
      <c r="S156" s="6"/>
      <c r="T156" s="6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8"/>
      <c r="BP156" s="9"/>
    </row>
    <row r="157" s="4" customFormat="1">
      <c r="A157" s="2"/>
      <c r="B157" s="2"/>
      <c r="C157" s="2"/>
      <c r="D157" s="2"/>
      <c r="E157" s="2"/>
      <c r="F157" s="2"/>
      <c r="G157" s="2"/>
      <c r="H157" s="2"/>
      <c r="I157" s="3"/>
      <c r="J157" s="3"/>
      <c r="K157" s="2"/>
      <c r="L157" s="54"/>
      <c r="P157" s="5"/>
      <c r="Q157" s="5"/>
      <c r="S157" s="6"/>
      <c r="T157" s="6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8"/>
      <c r="BP157" s="9"/>
    </row>
    <row r="158" s="4" customFormat="1">
      <c r="A158" s="2"/>
      <c r="B158" s="2"/>
      <c r="C158" s="2"/>
      <c r="D158" s="2"/>
      <c r="E158" s="2"/>
      <c r="F158" s="2"/>
      <c r="G158" s="2"/>
      <c r="H158" s="2"/>
      <c r="I158" s="3"/>
      <c r="J158" s="3"/>
      <c r="K158" s="2"/>
      <c r="L158" s="54"/>
      <c r="P158" s="5"/>
      <c r="Q158" s="5"/>
      <c r="S158" s="6"/>
      <c r="T158" s="6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8"/>
      <c r="BP158" s="9"/>
    </row>
    <row r="159" s="4" customFormat="1">
      <c r="A159" s="2"/>
      <c r="B159" s="2"/>
      <c r="C159" s="2"/>
      <c r="D159" s="2"/>
      <c r="E159" s="2"/>
      <c r="F159" s="2"/>
      <c r="G159" s="2"/>
      <c r="H159" s="2"/>
      <c r="I159" s="3"/>
      <c r="J159" s="3"/>
      <c r="K159" s="2"/>
      <c r="L159" s="54"/>
      <c r="P159" s="5"/>
      <c r="Q159" s="5"/>
      <c r="S159" s="6"/>
      <c r="T159" s="6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8"/>
      <c r="BP159" s="9"/>
    </row>
    <row r="160" s="4" customFormat="1">
      <c r="A160" s="2"/>
      <c r="B160" s="2"/>
      <c r="C160" s="2"/>
      <c r="D160" s="2"/>
      <c r="E160" s="2"/>
      <c r="F160" s="2"/>
      <c r="G160" s="2"/>
      <c r="H160" s="2"/>
      <c r="I160" s="3"/>
      <c r="J160" s="3"/>
      <c r="K160" s="2"/>
      <c r="L160" s="54"/>
      <c r="P160" s="5"/>
      <c r="Q160" s="5"/>
      <c r="S160" s="6"/>
      <c r="T160" s="6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8"/>
      <c r="BP160" s="9"/>
    </row>
    <row r="161" s="4" customFormat="1">
      <c r="A161" s="2"/>
      <c r="B161" s="2"/>
      <c r="C161" s="2"/>
      <c r="D161" s="2"/>
      <c r="E161" s="2"/>
      <c r="F161" s="2"/>
      <c r="G161" s="2"/>
      <c r="H161" s="2"/>
      <c r="I161" s="3"/>
      <c r="J161" s="3"/>
      <c r="K161" s="2"/>
      <c r="L161" s="54"/>
      <c r="P161" s="5"/>
      <c r="Q161" s="5"/>
      <c r="S161" s="6"/>
      <c r="T161" s="6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8"/>
      <c r="BP161" s="9"/>
    </row>
    <row r="162" s="4" customFormat="1">
      <c r="A162" s="2"/>
      <c r="B162" s="2"/>
      <c r="C162" s="2"/>
      <c r="D162" s="2"/>
      <c r="E162" s="2"/>
      <c r="F162" s="2"/>
      <c r="G162" s="2"/>
      <c r="H162" s="2"/>
      <c r="I162" s="3"/>
      <c r="J162" s="3"/>
      <c r="K162" s="2"/>
      <c r="L162" s="54"/>
      <c r="P162" s="5"/>
      <c r="Q162" s="5"/>
      <c r="S162" s="6"/>
      <c r="T162" s="6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8"/>
      <c r="BP162" s="9"/>
    </row>
    <row r="163" s="4" customFormat="1">
      <c r="A163" s="2"/>
      <c r="B163" s="2"/>
      <c r="C163" s="2"/>
      <c r="D163" s="2"/>
      <c r="E163" s="2"/>
      <c r="F163" s="2"/>
      <c r="G163" s="2"/>
      <c r="H163" s="2"/>
      <c r="I163" s="3"/>
      <c r="J163" s="3"/>
      <c r="K163" s="2"/>
      <c r="L163" s="54"/>
      <c r="P163" s="5"/>
      <c r="Q163" s="5"/>
      <c r="S163" s="6"/>
      <c r="T163" s="6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8"/>
      <c r="BP163" s="9"/>
    </row>
    <row r="164" s="4" customFormat="1">
      <c r="A164" s="2"/>
      <c r="B164" s="2"/>
      <c r="C164" s="2"/>
      <c r="D164" s="2"/>
      <c r="E164" s="2"/>
      <c r="F164" s="2"/>
      <c r="G164" s="2"/>
      <c r="H164" s="2"/>
      <c r="I164" s="3"/>
      <c r="J164" s="3"/>
      <c r="K164" s="2"/>
      <c r="L164" s="54"/>
      <c r="P164" s="5"/>
      <c r="Q164" s="5"/>
      <c r="S164" s="6"/>
      <c r="T164" s="6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8"/>
      <c r="BP164" s="9"/>
    </row>
    <row r="165" s="4" customFormat="1">
      <c r="A165" s="2"/>
      <c r="B165" s="2"/>
      <c r="C165" s="2"/>
      <c r="D165" s="2"/>
      <c r="E165" s="2"/>
      <c r="F165" s="2"/>
      <c r="G165" s="2"/>
      <c r="H165" s="2"/>
      <c r="I165" s="3"/>
      <c r="J165" s="3"/>
      <c r="K165" s="2"/>
      <c r="L165" s="54"/>
      <c r="P165" s="5"/>
      <c r="Q165" s="5"/>
      <c r="S165" s="6"/>
      <c r="T165" s="6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8"/>
      <c r="BP165" s="9"/>
    </row>
    <row r="166" s="4" customFormat="1">
      <c r="A166" s="2"/>
      <c r="B166" s="2"/>
      <c r="C166" s="2"/>
      <c r="D166" s="2"/>
      <c r="E166" s="2"/>
      <c r="F166" s="2"/>
      <c r="G166" s="2"/>
      <c r="H166" s="2"/>
      <c r="I166" s="3"/>
      <c r="J166" s="3"/>
      <c r="K166" s="2"/>
      <c r="L166" s="54"/>
      <c r="P166" s="5"/>
      <c r="Q166" s="5"/>
      <c r="S166" s="6"/>
      <c r="T166" s="6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8"/>
      <c r="BP166" s="9"/>
    </row>
    <row r="167" s="4" customFormat="1">
      <c r="A167" s="2"/>
      <c r="B167" s="2"/>
      <c r="C167" s="2"/>
      <c r="D167" s="2"/>
      <c r="E167" s="2"/>
      <c r="F167" s="2"/>
      <c r="G167" s="2"/>
      <c r="H167" s="2"/>
      <c r="I167" s="3"/>
      <c r="J167" s="3"/>
      <c r="K167" s="2"/>
      <c r="L167" s="54"/>
      <c r="P167" s="5"/>
      <c r="Q167" s="5"/>
      <c r="S167" s="6"/>
      <c r="T167" s="6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8"/>
      <c r="BP167" s="9"/>
    </row>
    <row r="168" s="4" customFormat="1">
      <c r="A168" s="2"/>
      <c r="B168" s="2"/>
      <c r="C168" s="2"/>
      <c r="D168" s="2"/>
      <c r="E168" s="2"/>
      <c r="F168" s="2"/>
      <c r="G168" s="2"/>
      <c r="H168" s="2"/>
      <c r="I168" s="3"/>
      <c r="J168" s="3"/>
      <c r="K168" s="2"/>
      <c r="L168" s="54"/>
      <c r="P168" s="5"/>
      <c r="Q168" s="5"/>
      <c r="S168" s="6"/>
      <c r="T168" s="6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8"/>
      <c r="BP168" s="9"/>
    </row>
    <row r="169" s="4" customFormat="1">
      <c r="A169" s="2"/>
      <c r="B169" s="2"/>
      <c r="C169" s="2"/>
      <c r="D169" s="2"/>
      <c r="E169" s="2"/>
      <c r="F169" s="2"/>
      <c r="G169" s="2"/>
      <c r="H169" s="2"/>
      <c r="I169" s="3"/>
      <c r="J169" s="3"/>
      <c r="K169" s="2"/>
      <c r="L169" s="54"/>
      <c r="P169" s="5"/>
      <c r="Q169" s="5"/>
      <c r="S169" s="6"/>
      <c r="T169" s="6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8"/>
      <c r="BP169" s="9"/>
    </row>
    <row r="170" s="4" customFormat="1">
      <c r="A170" s="2"/>
      <c r="B170" s="2"/>
      <c r="C170" s="2"/>
      <c r="D170" s="2"/>
      <c r="E170" s="2"/>
      <c r="F170" s="2"/>
      <c r="G170" s="2"/>
      <c r="H170" s="2"/>
      <c r="I170" s="3"/>
      <c r="J170" s="3"/>
      <c r="K170" s="2"/>
      <c r="L170" s="54"/>
      <c r="P170" s="5"/>
      <c r="Q170" s="5"/>
      <c r="S170" s="6"/>
      <c r="T170" s="6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8"/>
      <c r="BP170" s="9"/>
    </row>
    <row r="171" s="4" customFormat="1">
      <c r="A171" s="2"/>
      <c r="B171" s="2"/>
      <c r="C171" s="2"/>
      <c r="D171" s="2"/>
      <c r="E171" s="2"/>
      <c r="F171" s="2"/>
      <c r="G171" s="2"/>
      <c r="H171" s="2"/>
      <c r="I171" s="3"/>
      <c r="J171" s="3"/>
      <c r="K171" s="2"/>
      <c r="L171" s="54"/>
      <c r="P171" s="5"/>
      <c r="Q171" s="5"/>
      <c r="S171" s="6"/>
      <c r="T171" s="6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8"/>
      <c r="BP171" s="9"/>
    </row>
    <row r="172" s="4" customFormat="1">
      <c r="A172" s="2"/>
      <c r="B172" s="2"/>
      <c r="C172" s="2"/>
      <c r="D172" s="2"/>
      <c r="E172" s="2"/>
      <c r="F172" s="2"/>
      <c r="G172" s="2"/>
      <c r="H172" s="2"/>
      <c r="I172" s="3"/>
      <c r="J172" s="3"/>
      <c r="K172" s="2"/>
      <c r="L172" s="54"/>
      <c r="P172" s="5"/>
      <c r="Q172" s="5"/>
      <c r="S172" s="6"/>
      <c r="T172" s="6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8"/>
      <c r="BP172" s="9"/>
    </row>
    <row r="173" s="4" customFormat="1">
      <c r="A173" s="2"/>
      <c r="B173" s="2"/>
      <c r="C173" s="2"/>
      <c r="D173" s="2"/>
      <c r="E173" s="2"/>
      <c r="F173" s="2"/>
      <c r="G173" s="2"/>
      <c r="H173" s="2"/>
      <c r="I173" s="3"/>
      <c r="J173" s="3"/>
      <c r="K173" s="2"/>
      <c r="L173" s="54"/>
      <c r="P173" s="5"/>
      <c r="Q173" s="5"/>
      <c r="S173" s="6"/>
      <c r="T173" s="6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8"/>
      <c r="BP173" s="9"/>
    </row>
    <row r="174" s="4" customFormat="1">
      <c r="A174" s="2"/>
      <c r="B174" s="2"/>
      <c r="C174" s="2"/>
      <c r="D174" s="2"/>
      <c r="E174" s="2"/>
      <c r="F174" s="2"/>
      <c r="G174" s="2"/>
      <c r="H174" s="2"/>
      <c r="I174" s="3"/>
      <c r="J174" s="3"/>
      <c r="K174" s="2"/>
      <c r="L174" s="54"/>
      <c r="P174" s="5"/>
      <c r="Q174" s="5"/>
      <c r="S174" s="6"/>
      <c r="T174" s="6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8"/>
      <c r="BP174" s="9"/>
    </row>
    <row r="175" s="4" customFormat="1">
      <c r="A175" s="2"/>
      <c r="B175" s="2"/>
      <c r="C175" s="2"/>
      <c r="D175" s="2"/>
      <c r="E175" s="2"/>
      <c r="F175" s="2"/>
      <c r="G175" s="2"/>
      <c r="H175" s="2"/>
      <c r="I175" s="3"/>
      <c r="J175" s="3"/>
      <c r="K175" s="2"/>
      <c r="L175" s="54"/>
      <c r="P175" s="5"/>
      <c r="Q175" s="5"/>
      <c r="S175" s="6"/>
      <c r="T175" s="6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8"/>
      <c r="BP175" s="9"/>
    </row>
    <row r="176" s="4" customFormat="1">
      <c r="A176" s="2"/>
      <c r="B176" s="2"/>
      <c r="C176" s="2"/>
      <c r="D176" s="2"/>
      <c r="E176" s="2"/>
      <c r="F176" s="2"/>
      <c r="G176" s="2"/>
      <c r="H176" s="2"/>
      <c r="I176" s="3"/>
      <c r="J176" s="3"/>
      <c r="K176" s="2"/>
      <c r="L176" s="54"/>
      <c r="P176" s="5"/>
      <c r="Q176" s="5"/>
      <c r="S176" s="6"/>
      <c r="T176" s="6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8"/>
      <c r="BP176" s="9"/>
    </row>
    <row r="177" s="4" customFormat="1">
      <c r="A177" s="2"/>
      <c r="B177" s="2"/>
      <c r="C177" s="2"/>
      <c r="D177" s="2"/>
      <c r="E177" s="2"/>
      <c r="F177" s="2"/>
      <c r="G177" s="2"/>
      <c r="H177" s="2"/>
      <c r="I177" s="3"/>
      <c r="J177" s="3"/>
      <c r="K177" s="2"/>
      <c r="L177" s="54"/>
      <c r="P177" s="5"/>
      <c r="Q177" s="5"/>
      <c r="S177" s="6"/>
      <c r="T177" s="6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8"/>
      <c r="BP177" s="9"/>
    </row>
    <row r="178" s="4" customFormat="1">
      <c r="A178" s="2"/>
      <c r="B178" s="2"/>
      <c r="C178" s="2"/>
      <c r="D178" s="2"/>
      <c r="E178" s="2"/>
      <c r="F178" s="2"/>
      <c r="G178" s="2"/>
      <c r="H178" s="2"/>
      <c r="I178" s="3"/>
      <c r="J178" s="3"/>
      <c r="K178" s="2"/>
      <c r="L178" s="54"/>
      <c r="P178" s="5"/>
      <c r="Q178" s="5"/>
      <c r="S178" s="6"/>
      <c r="T178" s="6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8"/>
      <c r="BP178" s="9"/>
    </row>
    <row r="179" s="4" customFormat="1">
      <c r="A179" s="2"/>
      <c r="B179" s="2"/>
      <c r="C179" s="2"/>
      <c r="D179" s="2"/>
      <c r="E179" s="2"/>
      <c r="F179" s="2"/>
      <c r="G179" s="2"/>
      <c r="H179" s="2"/>
      <c r="I179" s="3"/>
      <c r="J179" s="3"/>
      <c r="K179" s="2"/>
      <c r="L179" s="54"/>
      <c r="P179" s="5"/>
      <c r="Q179" s="5"/>
      <c r="S179" s="6"/>
      <c r="T179" s="6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8"/>
      <c r="BP179" s="9"/>
    </row>
    <row r="180" s="4" customFormat="1">
      <c r="A180" s="2"/>
      <c r="B180" s="2"/>
      <c r="C180" s="2"/>
      <c r="D180" s="2"/>
      <c r="E180" s="2"/>
      <c r="F180" s="2"/>
      <c r="G180" s="2"/>
      <c r="H180" s="2"/>
      <c r="I180" s="3"/>
      <c r="J180" s="3"/>
      <c r="K180" s="2"/>
      <c r="L180" s="54"/>
      <c r="P180" s="5"/>
      <c r="Q180" s="5"/>
      <c r="S180" s="6"/>
      <c r="T180" s="6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8"/>
      <c r="BP180" s="9"/>
    </row>
    <row r="181" s="4" customFormat="1">
      <c r="A181" s="2"/>
      <c r="B181" s="2"/>
      <c r="C181" s="2"/>
      <c r="D181" s="2"/>
      <c r="E181" s="2"/>
      <c r="F181" s="2"/>
      <c r="G181" s="2"/>
      <c r="H181" s="2"/>
      <c r="I181" s="3"/>
      <c r="J181" s="3"/>
      <c r="K181" s="2"/>
      <c r="L181" s="54"/>
      <c r="P181" s="5"/>
      <c r="Q181" s="5"/>
      <c r="S181" s="6"/>
      <c r="T181" s="6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8"/>
      <c r="BP181" s="9"/>
    </row>
    <row r="182" s="4" customFormat="1">
      <c r="A182" s="2"/>
      <c r="B182" s="2"/>
      <c r="C182" s="2"/>
      <c r="D182" s="2"/>
      <c r="E182" s="2"/>
      <c r="F182" s="2"/>
      <c r="G182" s="2"/>
      <c r="H182" s="2"/>
      <c r="I182" s="3"/>
      <c r="J182" s="3"/>
      <c r="K182" s="2"/>
      <c r="L182" s="54"/>
      <c r="P182" s="5"/>
      <c r="Q182" s="5"/>
      <c r="S182" s="6"/>
      <c r="T182" s="6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8"/>
      <c r="BP182" s="9"/>
    </row>
    <row r="183" s="4" customFormat="1">
      <c r="A183" s="2"/>
      <c r="B183" s="2"/>
      <c r="C183" s="2"/>
      <c r="D183" s="2"/>
      <c r="E183" s="2"/>
      <c r="F183" s="2"/>
      <c r="G183" s="2"/>
      <c r="H183" s="2"/>
      <c r="I183" s="3"/>
      <c r="J183" s="3"/>
      <c r="K183" s="2"/>
      <c r="L183" s="54"/>
      <c r="P183" s="5"/>
      <c r="Q183" s="5"/>
      <c r="S183" s="6"/>
      <c r="T183" s="6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8"/>
      <c r="BP183" s="9"/>
    </row>
    <row r="184" s="4" customFormat="1">
      <c r="A184" s="2"/>
      <c r="B184" s="2"/>
      <c r="C184" s="2"/>
      <c r="D184" s="2"/>
      <c r="E184" s="2"/>
      <c r="F184" s="2"/>
      <c r="G184" s="2"/>
      <c r="H184" s="2"/>
      <c r="I184" s="3"/>
      <c r="J184" s="3"/>
      <c r="K184" s="2"/>
      <c r="L184" s="54"/>
      <c r="P184" s="5"/>
      <c r="Q184" s="5"/>
      <c r="S184" s="6"/>
      <c r="T184" s="6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8"/>
      <c r="BP184" s="9"/>
    </row>
    <row r="185" s="4" customFormat="1">
      <c r="A185" s="2"/>
      <c r="B185" s="2"/>
      <c r="C185" s="2"/>
      <c r="D185" s="2"/>
      <c r="E185" s="2"/>
      <c r="F185" s="2"/>
      <c r="G185" s="2"/>
      <c r="H185" s="2"/>
      <c r="I185" s="3"/>
      <c r="J185" s="3"/>
      <c r="K185" s="2"/>
      <c r="L185" s="54"/>
      <c r="P185" s="5"/>
      <c r="Q185" s="5"/>
      <c r="S185" s="6"/>
      <c r="T185" s="6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8"/>
      <c r="BP185" s="9"/>
    </row>
    <row r="186" s="4" customFormat="1">
      <c r="A186" s="2"/>
      <c r="B186" s="2"/>
      <c r="C186" s="2"/>
      <c r="D186" s="2"/>
      <c r="E186" s="2"/>
      <c r="F186" s="2"/>
      <c r="G186" s="2"/>
      <c r="H186" s="2"/>
      <c r="I186" s="3"/>
      <c r="J186" s="3"/>
      <c r="K186" s="2"/>
      <c r="L186" s="54"/>
      <c r="P186" s="5"/>
      <c r="Q186" s="5"/>
      <c r="S186" s="6"/>
      <c r="T186" s="6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8"/>
      <c r="BP186" s="9"/>
    </row>
    <row r="187" s="4" customFormat="1">
      <c r="A187" s="2"/>
      <c r="B187" s="2"/>
      <c r="C187" s="2"/>
      <c r="D187" s="2"/>
      <c r="E187" s="2"/>
      <c r="F187" s="2"/>
      <c r="G187" s="2"/>
      <c r="H187" s="2"/>
      <c r="I187" s="3"/>
      <c r="J187" s="3"/>
      <c r="K187" s="2"/>
      <c r="L187" s="54"/>
      <c r="P187" s="5"/>
      <c r="Q187" s="5"/>
      <c r="S187" s="6"/>
      <c r="T187" s="6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8"/>
      <c r="BP187" s="9"/>
    </row>
    <row r="188" s="4" customFormat="1">
      <c r="A188" s="2"/>
      <c r="B188" s="2"/>
      <c r="C188" s="2"/>
      <c r="D188" s="2"/>
      <c r="E188" s="2"/>
      <c r="F188" s="2"/>
      <c r="G188" s="2"/>
      <c r="H188" s="2"/>
      <c r="I188" s="3"/>
      <c r="J188" s="3"/>
      <c r="K188" s="2"/>
      <c r="L188" s="54"/>
      <c r="P188" s="5"/>
      <c r="Q188" s="5"/>
      <c r="S188" s="6"/>
      <c r="T188" s="6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8"/>
      <c r="BP188" s="9"/>
    </row>
    <row r="189" s="4" customFormat="1">
      <c r="A189" s="2"/>
      <c r="B189" s="2"/>
      <c r="C189" s="2"/>
      <c r="D189" s="2"/>
      <c r="E189" s="2"/>
      <c r="F189" s="2"/>
      <c r="G189" s="2"/>
      <c r="H189" s="2"/>
      <c r="I189" s="3"/>
      <c r="J189" s="3"/>
      <c r="K189" s="2"/>
      <c r="L189" s="54"/>
      <c r="P189" s="5"/>
      <c r="Q189" s="5"/>
      <c r="S189" s="6"/>
      <c r="T189" s="6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8"/>
      <c r="BP189" s="9"/>
    </row>
    <row r="190" s="4" customFormat="1">
      <c r="A190" s="2"/>
      <c r="B190" s="2"/>
      <c r="C190" s="2"/>
      <c r="D190" s="2"/>
      <c r="E190" s="2"/>
      <c r="F190" s="2"/>
      <c r="G190" s="2"/>
      <c r="H190" s="2"/>
      <c r="I190" s="3"/>
      <c r="J190" s="3"/>
      <c r="K190" s="2"/>
      <c r="L190" s="54"/>
      <c r="P190" s="5"/>
      <c r="Q190" s="5"/>
      <c r="S190" s="6"/>
      <c r="T190" s="6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8"/>
      <c r="BP190" s="9"/>
    </row>
    <row r="191" s="4" customFormat="1">
      <c r="A191" s="2"/>
      <c r="B191" s="2"/>
      <c r="C191" s="2"/>
      <c r="D191" s="2"/>
      <c r="E191" s="2"/>
      <c r="F191" s="2"/>
      <c r="G191" s="2"/>
      <c r="H191" s="2"/>
      <c r="I191" s="3"/>
      <c r="J191" s="3"/>
      <c r="K191" s="2"/>
      <c r="L191" s="54"/>
      <c r="P191" s="5"/>
      <c r="Q191" s="5"/>
      <c r="S191" s="6"/>
      <c r="T191" s="6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8"/>
      <c r="BP191" s="9"/>
    </row>
    <row r="192" s="4" customFormat="1">
      <c r="A192" s="2"/>
      <c r="B192" s="2"/>
      <c r="C192" s="2"/>
      <c r="D192" s="2"/>
      <c r="E192" s="2"/>
      <c r="F192" s="2"/>
      <c r="G192" s="2"/>
      <c r="H192" s="2"/>
      <c r="I192" s="3"/>
      <c r="J192" s="3"/>
      <c r="K192" s="2"/>
      <c r="L192" s="54"/>
      <c r="P192" s="5"/>
      <c r="Q192" s="5"/>
      <c r="S192" s="6"/>
      <c r="T192" s="6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8"/>
      <c r="BP192" s="9"/>
    </row>
    <row r="193" s="4" customFormat="1">
      <c r="A193" s="2"/>
      <c r="B193" s="2"/>
      <c r="C193" s="2"/>
      <c r="D193" s="2"/>
      <c r="E193" s="2"/>
      <c r="F193" s="2"/>
      <c r="G193" s="2"/>
      <c r="H193" s="2"/>
      <c r="I193" s="3"/>
      <c r="J193" s="3"/>
      <c r="K193" s="2"/>
      <c r="L193" s="54"/>
      <c r="P193" s="5"/>
      <c r="Q193" s="5"/>
      <c r="S193" s="6"/>
      <c r="T193" s="6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8"/>
      <c r="BP193" s="9"/>
    </row>
    <row r="194" s="4" customFormat="1">
      <c r="A194" s="2"/>
      <c r="B194" s="2"/>
      <c r="C194" s="2"/>
      <c r="D194" s="2"/>
      <c r="E194" s="2"/>
      <c r="F194" s="2"/>
      <c r="G194" s="2"/>
      <c r="H194" s="2"/>
      <c r="I194" s="3"/>
      <c r="J194" s="3"/>
      <c r="K194" s="2"/>
      <c r="L194" s="54"/>
      <c r="P194" s="5"/>
      <c r="Q194" s="5"/>
      <c r="S194" s="6"/>
      <c r="T194" s="6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8"/>
      <c r="BP194" s="9"/>
    </row>
    <row r="195" s="4" customFormat="1">
      <c r="A195" s="2"/>
      <c r="B195" s="2"/>
      <c r="C195" s="2"/>
      <c r="D195" s="2"/>
      <c r="E195" s="2"/>
      <c r="F195" s="2"/>
      <c r="G195" s="2"/>
      <c r="H195" s="2"/>
      <c r="I195" s="3"/>
      <c r="J195" s="3"/>
      <c r="K195" s="2"/>
      <c r="L195" s="54"/>
      <c r="P195" s="5"/>
      <c r="Q195" s="5"/>
      <c r="S195" s="6"/>
      <c r="T195" s="6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8"/>
      <c r="BP195" s="9"/>
    </row>
    <row r="196" s="4" customFormat="1">
      <c r="A196" s="2"/>
      <c r="B196" s="2"/>
      <c r="C196" s="2"/>
      <c r="D196" s="2"/>
      <c r="E196" s="2"/>
      <c r="F196" s="2"/>
      <c r="G196" s="2"/>
      <c r="H196" s="2"/>
      <c r="I196" s="3"/>
      <c r="J196" s="3"/>
      <c r="K196" s="2"/>
      <c r="L196" s="54"/>
      <c r="P196" s="5"/>
      <c r="Q196" s="5"/>
      <c r="S196" s="6"/>
      <c r="T196" s="6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8"/>
      <c r="BP196" s="9"/>
    </row>
    <row r="197" s="4" customFormat="1">
      <c r="A197" s="2"/>
      <c r="B197" s="2"/>
      <c r="C197" s="2"/>
      <c r="D197" s="2"/>
      <c r="E197" s="2"/>
      <c r="F197" s="2"/>
      <c r="G197" s="2"/>
      <c r="H197" s="2"/>
      <c r="I197" s="3"/>
      <c r="J197" s="3"/>
      <c r="K197" s="2"/>
      <c r="L197" s="54"/>
      <c r="P197" s="5"/>
      <c r="Q197" s="5"/>
      <c r="S197" s="6"/>
      <c r="T197" s="6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8"/>
      <c r="BP197" s="9"/>
    </row>
    <row r="198" s="4" customFormat="1">
      <c r="A198" s="2"/>
      <c r="B198" s="2"/>
      <c r="C198" s="2"/>
      <c r="D198" s="2"/>
      <c r="E198" s="2"/>
      <c r="F198" s="2"/>
      <c r="G198" s="2"/>
      <c r="H198" s="2"/>
      <c r="I198" s="3"/>
      <c r="J198" s="3"/>
      <c r="K198" s="2"/>
      <c r="L198" s="54"/>
      <c r="P198" s="5"/>
      <c r="Q198" s="5"/>
      <c r="S198" s="6"/>
      <c r="T198" s="6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8"/>
      <c r="BP198" s="9"/>
    </row>
    <row r="199" s="4" customFormat="1">
      <c r="A199" s="2"/>
      <c r="B199" s="2"/>
      <c r="C199" s="2"/>
      <c r="D199" s="2"/>
      <c r="E199" s="2"/>
      <c r="F199" s="2"/>
      <c r="G199" s="2"/>
      <c r="H199" s="2"/>
      <c r="I199" s="3"/>
      <c r="J199" s="3"/>
      <c r="K199" s="2"/>
      <c r="L199" s="54"/>
      <c r="P199" s="5"/>
      <c r="Q199" s="5"/>
      <c r="S199" s="6"/>
      <c r="T199" s="6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8"/>
      <c r="BP199" s="9"/>
    </row>
    <row r="200" s="4" customFormat="1">
      <c r="A200" s="2"/>
      <c r="B200" s="2"/>
      <c r="C200" s="2"/>
      <c r="D200" s="2"/>
      <c r="E200" s="2"/>
      <c r="F200" s="2"/>
      <c r="G200" s="2"/>
      <c r="H200" s="2"/>
      <c r="I200" s="3"/>
      <c r="J200" s="3"/>
      <c r="K200" s="2"/>
      <c r="L200" s="54"/>
      <c r="P200" s="5"/>
      <c r="Q200" s="5"/>
      <c r="S200" s="6"/>
      <c r="T200" s="6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8"/>
      <c r="BP200" s="9"/>
    </row>
    <row r="201" s="4" customFormat="1">
      <c r="A201" s="2"/>
      <c r="B201" s="2"/>
      <c r="C201" s="2"/>
      <c r="D201" s="2"/>
      <c r="E201" s="2"/>
      <c r="F201" s="2"/>
      <c r="G201" s="2"/>
      <c r="H201" s="2"/>
      <c r="I201" s="3"/>
      <c r="J201" s="3"/>
      <c r="K201" s="2"/>
      <c r="L201" s="54"/>
      <c r="P201" s="5"/>
      <c r="Q201" s="5"/>
      <c r="S201" s="6"/>
      <c r="T201" s="6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8"/>
      <c r="BP201" s="9"/>
    </row>
    <row r="202" s="4" customFormat="1">
      <c r="A202" s="2"/>
      <c r="B202" s="2"/>
      <c r="C202" s="2"/>
      <c r="D202" s="2"/>
      <c r="E202" s="2"/>
      <c r="F202" s="2"/>
      <c r="G202" s="2"/>
      <c r="H202" s="2"/>
      <c r="I202" s="3"/>
      <c r="J202" s="3"/>
      <c r="K202" s="2"/>
      <c r="L202" s="54"/>
      <c r="P202" s="5"/>
      <c r="Q202" s="5"/>
      <c r="S202" s="6"/>
      <c r="T202" s="6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8"/>
      <c r="BP202" s="9"/>
    </row>
    <row r="203" s="4" customFormat="1">
      <c r="A203" s="2"/>
      <c r="B203" s="2"/>
      <c r="C203" s="2"/>
      <c r="D203" s="2"/>
      <c r="E203" s="2"/>
      <c r="F203" s="2"/>
      <c r="G203" s="2"/>
      <c r="H203" s="2"/>
      <c r="I203" s="3"/>
      <c r="J203" s="3"/>
      <c r="K203" s="2"/>
      <c r="L203" s="54"/>
      <c r="P203" s="5"/>
      <c r="Q203" s="5"/>
      <c r="S203" s="6"/>
      <c r="T203" s="6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8"/>
      <c r="BP203" s="9"/>
    </row>
    <row r="204" s="4" customFormat="1">
      <c r="A204" s="2"/>
      <c r="B204" s="2"/>
      <c r="C204" s="2"/>
      <c r="D204" s="2"/>
      <c r="E204" s="2"/>
      <c r="F204" s="2"/>
      <c r="G204" s="2"/>
      <c r="H204" s="2"/>
      <c r="I204" s="3"/>
      <c r="J204" s="3"/>
      <c r="K204" s="2"/>
      <c r="L204" s="54"/>
      <c r="P204" s="5"/>
      <c r="Q204" s="5"/>
      <c r="S204" s="6"/>
      <c r="T204" s="6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8"/>
      <c r="BP204" s="9"/>
    </row>
    <row r="205" s="4" customFormat="1">
      <c r="A205" s="2"/>
      <c r="B205" s="2"/>
      <c r="C205" s="2"/>
      <c r="D205" s="2"/>
      <c r="E205" s="2"/>
      <c r="F205" s="2"/>
      <c r="G205" s="2"/>
      <c r="H205" s="2"/>
      <c r="I205" s="3"/>
      <c r="J205" s="3"/>
      <c r="K205" s="2"/>
      <c r="L205" s="54"/>
      <c r="P205" s="5"/>
      <c r="Q205" s="5"/>
      <c r="S205" s="6"/>
      <c r="T205" s="6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8"/>
      <c r="BP205" s="9"/>
    </row>
    <row r="206" s="4" customFormat="1">
      <c r="A206" s="2"/>
      <c r="B206" s="2"/>
      <c r="C206" s="2"/>
      <c r="D206" s="2"/>
      <c r="E206" s="2"/>
      <c r="F206" s="2"/>
      <c r="G206" s="2"/>
      <c r="H206" s="2"/>
      <c r="I206" s="3"/>
      <c r="J206" s="3"/>
      <c r="K206" s="2"/>
      <c r="L206" s="54"/>
      <c r="P206" s="5"/>
      <c r="Q206" s="5"/>
      <c r="S206" s="6"/>
      <c r="T206" s="6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8"/>
      <c r="BP206" s="9"/>
    </row>
    <row r="207" s="4" customFormat="1">
      <c r="A207" s="2"/>
      <c r="B207" s="2"/>
      <c r="C207" s="2"/>
      <c r="D207" s="2"/>
      <c r="E207" s="2"/>
      <c r="F207" s="2"/>
      <c r="G207" s="2"/>
      <c r="H207" s="2"/>
      <c r="I207" s="3"/>
      <c r="J207" s="3"/>
      <c r="K207" s="2"/>
      <c r="L207" s="54"/>
      <c r="P207" s="5"/>
      <c r="Q207" s="5"/>
      <c r="S207" s="6"/>
      <c r="T207" s="6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8"/>
      <c r="BP207" s="9"/>
    </row>
    <row r="208" s="4" customFormat="1">
      <c r="A208" s="2"/>
      <c r="B208" s="2"/>
      <c r="C208" s="2"/>
      <c r="D208" s="2"/>
      <c r="E208" s="2"/>
      <c r="F208" s="2"/>
      <c r="G208" s="2"/>
      <c r="H208" s="2"/>
      <c r="I208" s="3"/>
      <c r="J208" s="3"/>
      <c r="K208" s="2"/>
      <c r="L208" s="54"/>
      <c r="P208" s="5"/>
      <c r="Q208" s="5"/>
      <c r="S208" s="6"/>
      <c r="T208" s="6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8"/>
      <c r="BP208" s="9"/>
    </row>
    <row r="209" s="4" customFormat="1">
      <c r="A209" s="2"/>
      <c r="B209" s="2"/>
      <c r="C209" s="2"/>
      <c r="D209" s="2"/>
      <c r="E209" s="2"/>
      <c r="F209" s="2"/>
      <c r="G209" s="2"/>
      <c r="H209" s="2"/>
      <c r="I209" s="3"/>
      <c r="J209" s="3"/>
      <c r="K209" s="2"/>
      <c r="L209" s="54"/>
      <c r="P209" s="5"/>
      <c r="Q209" s="5"/>
      <c r="S209" s="6"/>
      <c r="T209" s="6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8"/>
      <c r="BP209" s="9"/>
    </row>
    <row r="210" s="4" customFormat="1">
      <c r="A210" s="2"/>
      <c r="B210" s="2"/>
      <c r="C210" s="2"/>
      <c r="D210" s="2"/>
      <c r="E210" s="2"/>
      <c r="F210" s="2"/>
      <c r="G210" s="2"/>
      <c r="H210" s="2"/>
      <c r="I210" s="3"/>
      <c r="J210" s="3"/>
      <c r="K210" s="2"/>
      <c r="L210" s="54"/>
      <c r="P210" s="5"/>
      <c r="Q210" s="5"/>
      <c r="S210" s="6"/>
      <c r="T210" s="6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8"/>
      <c r="BP210" s="9"/>
    </row>
    <row r="211" s="4" customFormat="1">
      <c r="A211" s="2"/>
      <c r="B211" s="2"/>
      <c r="C211" s="2"/>
      <c r="D211" s="2"/>
      <c r="E211" s="2"/>
      <c r="F211" s="2"/>
      <c r="G211" s="2"/>
      <c r="H211" s="2"/>
      <c r="I211" s="3"/>
      <c r="J211" s="3"/>
      <c r="K211" s="2"/>
      <c r="L211" s="54"/>
      <c r="P211" s="5"/>
      <c r="Q211" s="5"/>
      <c r="S211" s="6"/>
      <c r="T211" s="6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8"/>
      <c r="BP211" s="9"/>
    </row>
    <row r="212" s="4" customFormat="1">
      <c r="A212" s="2"/>
      <c r="B212" s="2"/>
      <c r="C212" s="2"/>
      <c r="D212" s="2"/>
      <c r="E212" s="2"/>
      <c r="F212" s="2"/>
      <c r="G212" s="2"/>
      <c r="H212" s="2"/>
      <c r="I212" s="3"/>
      <c r="J212" s="3"/>
      <c r="K212" s="2"/>
      <c r="L212" s="54"/>
      <c r="P212" s="5"/>
      <c r="Q212" s="5"/>
      <c r="S212" s="6"/>
      <c r="T212" s="6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8"/>
      <c r="BP212" s="9"/>
    </row>
    <row r="213" s="4" customFormat="1">
      <c r="A213" s="2"/>
      <c r="B213" s="2"/>
      <c r="C213" s="2"/>
      <c r="D213" s="2"/>
      <c r="E213" s="2"/>
      <c r="F213" s="2"/>
      <c r="G213" s="2"/>
      <c r="H213" s="2"/>
      <c r="I213" s="3"/>
      <c r="J213" s="3"/>
      <c r="K213" s="2"/>
      <c r="L213" s="54"/>
      <c r="P213" s="5"/>
      <c r="Q213" s="5"/>
      <c r="S213" s="6"/>
      <c r="T213" s="6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8"/>
      <c r="BP213" s="9"/>
    </row>
    <row r="214" s="4" customFormat="1">
      <c r="A214" s="2"/>
      <c r="B214" s="2"/>
      <c r="C214" s="2"/>
      <c r="D214" s="2"/>
      <c r="E214" s="2"/>
      <c r="F214" s="2"/>
      <c r="G214" s="2"/>
      <c r="H214" s="2"/>
      <c r="I214" s="3"/>
      <c r="J214" s="3"/>
      <c r="K214" s="2"/>
      <c r="L214" s="54"/>
      <c r="P214" s="5"/>
      <c r="Q214" s="5"/>
      <c r="S214" s="6"/>
      <c r="T214" s="6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8"/>
      <c r="BP214" s="9"/>
    </row>
    <row r="215" s="4" customFormat="1">
      <c r="A215" s="2"/>
      <c r="B215" s="2"/>
      <c r="C215" s="2"/>
      <c r="D215" s="2"/>
      <c r="E215" s="2"/>
      <c r="F215" s="2"/>
      <c r="G215" s="2"/>
      <c r="H215" s="2"/>
      <c r="I215" s="3"/>
      <c r="J215" s="3"/>
      <c r="K215" s="2"/>
      <c r="L215" s="54"/>
      <c r="P215" s="5"/>
      <c r="Q215" s="5"/>
      <c r="S215" s="6"/>
      <c r="T215" s="6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8"/>
      <c r="BP215" s="9"/>
    </row>
    <row r="216" s="4" customFormat="1">
      <c r="A216" s="2"/>
      <c r="B216" s="2"/>
      <c r="C216" s="2"/>
      <c r="D216" s="2"/>
      <c r="E216" s="2"/>
      <c r="F216" s="2"/>
      <c r="G216" s="2"/>
      <c r="H216" s="2"/>
      <c r="I216" s="3"/>
      <c r="J216" s="3"/>
      <c r="K216" s="2"/>
      <c r="L216" s="54"/>
      <c r="P216" s="5"/>
      <c r="Q216" s="5"/>
      <c r="S216" s="6"/>
      <c r="T216" s="6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8"/>
      <c r="BP216" s="9"/>
    </row>
    <row r="217" s="4" customFormat="1">
      <c r="A217" s="2"/>
      <c r="B217" s="2"/>
      <c r="C217" s="2"/>
      <c r="D217" s="2"/>
      <c r="E217" s="2"/>
      <c r="F217" s="2"/>
      <c r="G217" s="2"/>
      <c r="H217" s="2"/>
      <c r="I217" s="3"/>
      <c r="J217" s="3"/>
      <c r="K217" s="2"/>
      <c r="L217" s="54"/>
      <c r="P217" s="5"/>
      <c r="Q217" s="5"/>
      <c r="S217" s="6"/>
      <c r="T217" s="6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8"/>
      <c r="BP217" s="9"/>
    </row>
    <row r="218" s="4" customFormat="1">
      <c r="A218" s="2"/>
      <c r="B218" s="2"/>
      <c r="C218" s="2"/>
      <c r="D218" s="2"/>
      <c r="E218" s="2"/>
      <c r="F218" s="2"/>
      <c r="G218" s="2"/>
      <c r="H218" s="2"/>
      <c r="I218" s="3"/>
      <c r="J218" s="3"/>
      <c r="K218" s="2"/>
      <c r="L218" s="54"/>
      <c r="P218" s="5"/>
      <c r="Q218" s="5"/>
      <c r="S218" s="6"/>
      <c r="T218" s="6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8"/>
      <c r="BP218" s="9"/>
    </row>
    <row r="219" s="4" customFormat="1">
      <c r="A219" s="2"/>
      <c r="B219" s="2"/>
      <c r="C219" s="2"/>
      <c r="D219" s="2"/>
      <c r="E219" s="2"/>
      <c r="F219" s="2"/>
      <c r="G219" s="2"/>
      <c r="H219" s="2"/>
      <c r="I219" s="3"/>
      <c r="J219" s="3"/>
      <c r="K219" s="2"/>
      <c r="L219" s="54"/>
      <c r="P219" s="5"/>
      <c r="Q219" s="5"/>
      <c r="S219" s="6"/>
      <c r="T219" s="6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8"/>
      <c r="BP219" s="9"/>
    </row>
    <row r="220" s="4" customFormat="1">
      <c r="A220" s="2"/>
      <c r="B220" s="2"/>
      <c r="C220" s="2"/>
      <c r="D220" s="2"/>
      <c r="E220" s="2"/>
      <c r="F220" s="2"/>
      <c r="G220" s="2"/>
      <c r="H220" s="2"/>
      <c r="I220" s="3"/>
      <c r="J220" s="3"/>
      <c r="K220" s="2"/>
      <c r="L220" s="54"/>
      <c r="P220" s="5"/>
      <c r="Q220" s="5"/>
      <c r="S220" s="6"/>
      <c r="T220" s="6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8"/>
      <c r="BP220" s="9"/>
    </row>
    <row r="221" s="4" customFormat="1">
      <c r="A221" s="2"/>
      <c r="B221" s="2"/>
      <c r="C221" s="2"/>
      <c r="D221" s="2"/>
      <c r="E221" s="2"/>
      <c r="F221" s="2"/>
      <c r="G221" s="2"/>
      <c r="H221" s="2"/>
      <c r="I221" s="3"/>
      <c r="J221" s="3"/>
      <c r="K221" s="2"/>
      <c r="L221" s="54"/>
      <c r="P221" s="5"/>
      <c r="Q221" s="5"/>
      <c r="S221" s="6"/>
      <c r="T221" s="6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8"/>
      <c r="BP221" s="9"/>
    </row>
    <row r="222" s="4" customFormat="1">
      <c r="A222" s="2"/>
      <c r="B222" s="2"/>
      <c r="C222" s="2"/>
      <c r="D222" s="2"/>
      <c r="E222" s="2"/>
      <c r="F222" s="2"/>
      <c r="G222" s="2"/>
      <c r="H222" s="2"/>
      <c r="I222" s="3"/>
      <c r="J222" s="3"/>
      <c r="K222" s="2"/>
      <c r="L222" s="54"/>
      <c r="P222" s="5"/>
      <c r="Q222" s="5"/>
      <c r="S222" s="6"/>
      <c r="T222" s="6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8"/>
      <c r="BP222" s="9"/>
    </row>
    <row r="223" s="4" customFormat="1">
      <c r="A223" s="2"/>
      <c r="B223" s="2"/>
      <c r="C223" s="2"/>
      <c r="D223" s="2"/>
      <c r="E223" s="2"/>
      <c r="F223" s="2"/>
      <c r="G223" s="2"/>
      <c r="H223" s="2"/>
      <c r="I223" s="3"/>
      <c r="J223" s="3"/>
      <c r="K223" s="2"/>
      <c r="L223" s="54"/>
      <c r="P223" s="5"/>
      <c r="Q223" s="5"/>
      <c r="S223" s="6"/>
      <c r="T223" s="6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8"/>
      <c r="BP223" s="9"/>
    </row>
    <row r="224" s="4" customFormat="1">
      <c r="A224" s="2"/>
      <c r="B224" s="2"/>
      <c r="C224" s="2"/>
      <c r="D224" s="2"/>
      <c r="E224" s="2"/>
      <c r="F224" s="2"/>
      <c r="G224" s="2"/>
      <c r="H224" s="2"/>
      <c r="I224" s="3"/>
      <c r="J224" s="3"/>
      <c r="K224" s="2"/>
      <c r="L224" s="54"/>
      <c r="P224" s="5"/>
      <c r="Q224" s="5"/>
      <c r="S224" s="6"/>
      <c r="T224" s="6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8"/>
      <c r="BP224" s="9"/>
    </row>
    <row r="225" s="4" customFormat="1">
      <c r="A225" s="2"/>
      <c r="B225" s="2"/>
      <c r="C225" s="2"/>
      <c r="D225" s="2"/>
      <c r="E225" s="2"/>
      <c r="F225" s="2"/>
      <c r="G225" s="2"/>
      <c r="H225" s="2"/>
      <c r="I225" s="3"/>
      <c r="J225" s="3"/>
      <c r="K225" s="2"/>
      <c r="L225" s="54"/>
      <c r="P225" s="5"/>
      <c r="Q225" s="5"/>
      <c r="S225" s="6"/>
      <c r="T225" s="6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8"/>
      <c r="BP225" s="9"/>
    </row>
    <row r="226" s="4" customFormat="1">
      <c r="A226" s="2"/>
      <c r="B226" s="2"/>
      <c r="C226" s="2"/>
      <c r="D226" s="2"/>
      <c r="E226" s="2"/>
      <c r="F226" s="2"/>
      <c r="G226" s="2"/>
      <c r="H226" s="2"/>
      <c r="I226" s="3"/>
      <c r="J226" s="3"/>
      <c r="K226" s="2"/>
      <c r="L226" s="54"/>
      <c r="P226" s="5"/>
      <c r="Q226" s="5"/>
      <c r="S226" s="6"/>
      <c r="T226" s="6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8"/>
      <c r="BP226" s="9"/>
    </row>
    <row r="227" s="4" customFormat="1">
      <c r="A227" s="2"/>
      <c r="B227" s="2"/>
      <c r="C227" s="2"/>
      <c r="D227" s="2"/>
      <c r="E227" s="2"/>
      <c r="F227" s="2"/>
      <c r="G227" s="2"/>
      <c r="H227" s="2"/>
      <c r="I227" s="3"/>
      <c r="J227" s="3"/>
      <c r="K227" s="2"/>
      <c r="L227" s="54"/>
      <c r="P227" s="5"/>
      <c r="Q227" s="5"/>
      <c r="S227" s="6"/>
      <c r="T227" s="6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8"/>
      <c r="BP227" s="9"/>
    </row>
    <row r="228" s="4" customFormat="1">
      <c r="A228" s="2"/>
      <c r="B228" s="2"/>
      <c r="C228" s="2"/>
      <c r="D228" s="2"/>
      <c r="E228" s="2"/>
      <c r="F228" s="2"/>
      <c r="G228" s="2"/>
      <c r="H228" s="2"/>
      <c r="I228" s="3"/>
      <c r="J228" s="3"/>
      <c r="K228" s="2"/>
      <c r="L228" s="54"/>
      <c r="P228" s="5"/>
      <c r="Q228" s="5"/>
      <c r="S228" s="6"/>
      <c r="T228" s="6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8"/>
      <c r="BP228" s="9"/>
    </row>
    <row r="229" s="4" customFormat="1">
      <c r="A229" s="2"/>
      <c r="B229" s="2"/>
      <c r="C229" s="2"/>
      <c r="D229" s="2"/>
      <c r="E229" s="2"/>
      <c r="F229" s="2"/>
      <c r="G229" s="2"/>
      <c r="H229" s="2"/>
      <c r="I229" s="3"/>
      <c r="J229" s="3"/>
      <c r="K229" s="2"/>
      <c r="L229" s="54"/>
      <c r="P229" s="5"/>
      <c r="Q229" s="5"/>
      <c r="S229" s="6"/>
      <c r="T229" s="6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8"/>
      <c r="BP229" s="9"/>
    </row>
    <row r="230" s="4" customFormat="1">
      <c r="A230" s="2"/>
      <c r="B230" s="2"/>
      <c r="C230" s="2"/>
      <c r="D230" s="2"/>
      <c r="E230" s="2"/>
      <c r="F230" s="2"/>
      <c r="G230" s="2"/>
      <c r="H230" s="2"/>
      <c r="I230" s="3"/>
      <c r="J230" s="3"/>
      <c r="K230" s="2"/>
      <c r="L230" s="54"/>
      <c r="P230" s="5"/>
      <c r="Q230" s="5"/>
      <c r="S230" s="6"/>
      <c r="T230" s="6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8"/>
      <c r="BP230" s="9"/>
    </row>
    <row r="231" s="4" customFormat="1">
      <c r="A231" s="2"/>
      <c r="B231" s="2"/>
      <c r="C231" s="2"/>
      <c r="D231" s="2"/>
      <c r="E231" s="2"/>
      <c r="F231" s="2"/>
      <c r="G231" s="2"/>
      <c r="H231" s="2"/>
      <c r="I231" s="3"/>
      <c r="J231" s="3"/>
      <c r="K231" s="2"/>
      <c r="L231" s="54"/>
      <c r="P231" s="5"/>
      <c r="Q231" s="5"/>
      <c r="S231" s="6"/>
      <c r="T231" s="6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8"/>
      <c r="BP231" s="9"/>
    </row>
    <row r="232" s="4" customFormat="1">
      <c r="A232" s="2"/>
      <c r="B232" s="2"/>
      <c r="C232" s="2"/>
      <c r="D232" s="2"/>
      <c r="E232" s="2"/>
      <c r="F232" s="2"/>
      <c r="G232" s="2"/>
      <c r="H232" s="2"/>
      <c r="I232" s="3"/>
      <c r="J232" s="3"/>
      <c r="K232" s="2"/>
      <c r="L232" s="54"/>
      <c r="P232" s="5"/>
      <c r="Q232" s="5"/>
      <c r="S232" s="6"/>
      <c r="T232" s="6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8"/>
      <c r="BP232" s="9"/>
    </row>
    <row r="233" s="4" customFormat="1">
      <c r="A233" s="2"/>
      <c r="B233" s="2"/>
      <c r="C233" s="2"/>
      <c r="D233" s="2"/>
      <c r="E233" s="2"/>
      <c r="F233" s="2"/>
      <c r="G233" s="2"/>
      <c r="H233" s="2"/>
      <c r="I233" s="3"/>
      <c r="J233" s="3"/>
      <c r="K233" s="2"/>
      <c r="L233" s="54"/>
      <c r="P233" s="5"/>
      <c r="Q233" s="5"/>
      <c r="S233" s="6"/>
      <c r="T233" s="6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8"/>
      <c r="BP233" s="9"/>
    </row>
    <row r="234" s="4" customFormat="1">
      <c r="A234" s="2"/>
      <c r="B234" s="2"/>
      <c r="C234" s="2"/>
      <c r="D234" s="2"/>
      <c r="E234" s="2"/>
      <c r="F234" s="2"/>
      <c r="G234" s="2"/>
      <c r="H234" s="2"/>
      <c r="I234" s="3"/>
      <c r="J234" s="3"/>
      <c r="K234" s="2"/>
      <c r="L234" s="54"/>
      <c r="P234" s="5"/>
      <c r="Q234" s="5"/>
      <c r="S234" s="6"/>
      <c r="T234" s="6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8"/>
      <c r="BP234" s="9"/>
    </row>
    <row r="235" s="4" customFormat="1">
      <c r="A235" s="2"/>
      <c r="B235" s="2"/>
      <c r="C235" s="2"/>
      <c r="D235" s="2"/>
      <c r="E235" s="2"/>
      <c r="F235" s="2"/>
      <c r="G235" s="2"/>
      <c r="H235" s="2"/>
      <c r="I235" s="3"/>
      <c r="J235" s="3"/>
      <c r="K235" s="2"/>
      <c r="L235" s="54"/>
      <c r="P235" s="5"/>
      <c r="Q235" s="5"/>
      <c r="S235" s="6"/>
      <c r="T235" s="6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8"/>
      <c r="BP235" s="9"/>
    </row>
    <row r="236" s="4" customFormat="1">
      <c r="A236" s="2"/>
      <c r="B236" s="2"/>
      <c r="C236" s="2"/>
      <c r="D236" s="2"/>
      <c r="E236" s="2"/>
      <c r="F236" s="2"/>
      <c r="G236" s="2"/>
      <c r="H236" s="2"/>
      <c r="I236" s="3"/>
      <c r="J236" s="3"/>
      <c r="K236" s="2"/>
      <c r="L236" s="54"/>
      <c r="P236" s="5"/>
      <c r="Q236" s="5"/>
      <c r="S236" s="6"/>
      <c r="T236" s="6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8"/>
      <c r="BP236" s="9"/>
    </row>
    <row r="237" s="4" customFormat="1">
      <c r="A237" s="2"/>
      <c r="B237" s="2"/>
      <c r="C237" s="2"/>
      <c r="D237" s="2"/>
      <c r="E237" s="2"/>
      <c r="F237" s="2"/>
      <c r="G237" s="2"/>
      <c r="H237" s="2"/>
      <c r="I237" s="3"/>
      <c r="J237" s="3"/>
      <c r="K237" s="2"/>
      <c r="L237" s="54"/>
      <c r="P237" s="5"/>
      <c r="Q237" s="5"/>
      <c r="S237" s="6"/>
      <c r="T237" s="6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8"/>
      <c r="BP237" s="9"/>
    </row>
    <row r="238" s="4" customFormat="1">
      <c r="A238" s="2"/>
      <c r="B238" s="2"/>
      <c r="C238" s="2"/>
      <c r="D238" s="2"/>
      <c r="E238" s="2"/>
      <c r="F238" s="2"/>
      <c r="G238" s="2"/>
      <c r="H238" s="2"/>
      <c r="I238" s="3"/>
      <c r="J238" s="3"/>
      <c r="K238" s="2"/>
      <c r="L238" s="54"/>
      <c r="P238" s="5"/>
      <c r="Q238" s="5"/>
      <c r="S238" s="6"/>
      <c r="T238" s="6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8"/>
      <c r="BP238" s="9"/>
    </row>
    <row r="239" s="4" customFormat="1">
      <c r="A239" s="2"/>
      <c r="B239" s="2"/>
      <c r="C239" s="2"/>
      <c r="D239" s="2"/>
      <c r="E239" s="2"/>
      <c r="F239" s="2"/>
      <c r="G239" s="2"/>
      <c r="H239" s="2"/>
      <c r="I239" s="3"/>
      <c r="J239" s="3"/>
      <c r="K239" s="2"/>
      <c r="L239" s="54"/>
      <c r="P239" s="5"/>
      <c r="Q239" s="5"/>
      <c r="S239" s="6"/>
      <c r="T239" s="6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8"/>
      <c r="BP239" s="9"/>
    </row>
    <row r="240" s="4" customFormat="1">
      <c r="A240" s="2"/>
      <c r="B240" s="2"/>
      <c r="C240" s="2"/>
      <c r="D240" s="2"/>
      <c r="E240" s="2"/>
      <c r="F240" s="2"/>
      <c r="G240" s="2"/>
      <c r="H240" s="2"/>
      <c r="I240" s="3"/>
      <c r="J240" s="3"/>
      <c r="K240" s="2"/>
      <c r="L240" s="54"/>
      <c r="P240" s="5"/>
      <c r="Q240" s="5"/>
      <c r="S240" s="6"/>
      <c r="T240" s="6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8"/>
      <c r="BP240" s="9"/>
    </row>
    <row r="241" s="4" customFormat="1">
      <c r="A241" s="2"/>
      <c r="B241" s="2"/>
      <c r="C241" s="2"/>
      <c r="D241" s="2"/>
      <c r="E241" s="2"/>
      <c r="F241" s="2"/>
      <c r="G241" s="2"/>
      <c r="H241" s="2"/>
      <c r="I241" s="3"/>
      <c r="J241" s="3"/>
      <c r="K241" s="2"/>
      <c r="L241" s="54"/>
      <c r="P241" s="5"/>
      <c r="Q241" s="5"/>
      <c r="S241" s="6"/>
      <c r="T241" s="6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8"/>
      <c r="BP241" s="9"/>
    </row>
    <row r="242" s="4" customFormat="1">
      <c r="A242" s="2"/>
      <c r="B242" s="2"/>
      <c r="C242" s="2"/>
      <c r="D242" s="2"/>
      <c r="E242" s="2"/>
      <c r="F242" s="2"/>
      <c r="G242" s="2"/>
      <c r="H242" s="2"/>
      <c r="I242" s="3"/>
      <c r="J242" s="3"/>
      <c r="K242" s="2"/>
      <c r="L242" s="54"/>
      <c r="P242" s="5"/>
      <c r="Q242" s="5"/>
      <c r="S242" s="6"/>
      <c r="T242" s="6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8"/>
      <c r="BP242" s="9"/>
    </row>
    <row r="243" s="4" customFormat="1">
      <c r="A243" s="2"/>
      <c r="B243" s="2"/>
      <c r="C243" s="2"/>
      <c r="D243" s="2"/>
      <c r="E243" s="2"/>
      <c r="F243" s="2"/>
      <c r="G243" s="2"/>
      <c r="H243" s="2"/>
      <c r="I243" s="3"/>
      <c r="J243" s="3"/>
      <c r="K243" s="2"/>
      <c r="L243" s="54"/>
      <c r="P243" s="5"/>
      <c r="Q243" s="5"/>
      <c r="S243" s="6"/>
      <c r="T243" s="6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8"/>
      <c r="BP243" s="9"/>
    </row>
    <row r="244" s="4" customFormat="1">
      <c r="A244" s="2"/>
      <c r="B244" s="2"/>
      <c r="C244" s="2"/>
      <c r="D244" s="2"/>
      <c r="E244" s="2"/>
      <c r="F244" s="2"/>
      <c r="G244" s="2"/>
      <c r="H244" s="2"/>
      <c r="I244" s="3"/>
      <c r="J244" s="3"/>
      <c r="K244" s="2"/>
      <c r="L244" s="54"/>
      <c r="P244" s="5"/>
      <c r="Q244" s="5"/>
      <c r="S244" s="6"/>
      <c r="T244" s="6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8"/>
      <c r="BP244" s="9"/>
    </row>
    <row r="245" s="4" customFormat="1">
      <c r="A245" s="2"/>
      <c r="B245" s="2"/>
      <c r="C245" s="2"/>
      <c r="D245" s="2"/>
      <c r="E245" s="2"/>
      <c r="F245" s="2"/>
      <c r="G245" s="2"/>
      <c r="H245" s="2"/>
      <c r="I245" s="3"/>
      <c r="J245" s="3"/>
      <c r="K245" s="2"/>
      <c r="L245" s="54"/>
      <c r="P245" s="5"/>
      <c r="Q245" s="5"/>
      <c r="S245" s="6"/>
      <c r="T245" s="6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8"/>
      <c r="BP245" s="9"/>
    </row>
    <row r="246" s="4" customFormat="1">
      <c r="A246" s="2"/>
      <c r="B246" s="2"/>
      <c r="C246" s="2"/>
      <c r="D246" s="2"/>
      <c r="E246" s="2"/>
      <c r="F246" s="2"/>
      <c r="G246" s="2"/>
      <c r="H246" s="2"/>
      <c r="I246" s="3"/>
      <c r="J246" s="3"/>
      <c r="K246" s="2"/>
      <c r="L246" s="54"/>
      <c r="P246" s="5"/>
      <c r="Q246" s="5"/>
      <c r="S246" s="6"/>
      <c r="T246" s="6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8"/>
      <c r="BP246" s="9"/>
    </row>
    <row r="247" s="4" customFormat="1">
      <c r="A247" s="2"/>
      <c r="B247" s="2"/>
      <c r="C247" s="2"/>
      <c r="D247" s="2"/>
      <c r="E247" s="2"/>
      <c r="F247" s="2"/>
      <c r="G247" s="2"/>
      <c r="H247" s="2"/>
      <c r="I247" s="3"/>
      <c r="J247" s="3"/>
      <c r="K247" s="2"/>
      <c r="L247" s="54"/>
      <c r="P247" s="5"/>
      <c r="Q247" s="5"/>
      <c r="S247" s="6"/>
      <c r="T247" s="6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8"/>
      <c r="BP247" s="9"/>
    </row>
    <row r="248" s="4" customFormat="1">
      <c r="A248" s="2"/>
      <c r="B248" s="2"/>
      <c r="C248" s="2"/>
      <c r="D248" s="2"/>
      <c r="E248" s="2"/>
      <c r="F248" s="2"/>
      <c r="G248" s="2"/>
      <c r="H248" s="2"/>
      <c r="I248" s="3"/>
      <c r="J248" s="3"/>
      <c r="K248" s="2"/>
      <c r="L248" s="54"/>
      <c r="P248" s="5"/>
      <c r="Q248" s="5"/>
      <c r="S248" s="6"/>
      <c r="T248" s="6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8"/>
      <c r="BP248" s="9"/>
    </row>
    <row r="249" s="4" customFormat="1">
      <c r="A249" s="2"/>
      <c r="B249" s="2"/>
      <c r="C249" s="2"/>
      <c r="D249" s="2"/>
      <c r="E249" s="2"/>
      <c r="F249" s="2"/>
      <c r="G249" s="2"/>
      <c r="H249" s="2"/>
      <c r="I249" s="3"/>
      <c r="J249" s="3"/>
      <c r="K249" s="2"/>
      <c r="L249" s="54"/>
      <c r="P249" s="5"/>
      <c r="Q249" s="5"/>
      <c r="S249" s="6"/>
      <c r="T249" s="6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8"/>
      <c r="BP249" s="9"/>
    </row>
  </sheetData>
  <autoFilter ref="A1:AT22">
    <filterColumn colId="18">
      <customFilters>
        <customFilter operator="equal" val="-"/>
      </customFilters>
    </filterColumn>
  </autoFilter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McNabb</dc:creator>
  <cp:revision>4</cp:revision>
  <dcterms:created xsi:type="dcterms:W3CDTF">2023-11-30T03:26:00Z</dcterms:created>
  <dcterms:modified xsi:type="dcterms:W3CDTF">2025-11-18T16:08:28Z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899198E6A88D4A3AA4B3A690DD3618FA_12</vt:lpwstr>
  </property>
  <property fmtid="{D5CDD505-2E9C-101B-9397-08002B2CF9AE}" pid="3" name="KSOProductBuildVer">
    <vt:lpwstr>1033-12.2.0.23155</vt:lpwstr>
  </property>
</Properties>
</file>