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ystem testing" sheetId="1" state="visible" r:id="rId1"/>
  </sheets>
  <definedNames>
    <definedName name="_xlnm._FilterDatabase" localSheetId="0" hidden="1">'System testing'!$A$1:$AS$22</definedName>
    <definedName name="_xlnm._FilterDatabase" localSheetId="0" hidden="1">'System testing'!$A$1:$AS$22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<sst xmlns="http://schemas.openxmlformats.org/spreadsheetml/2006/main" count="129" uniqueCount="129">
  <si>
    <t>Year</t>
  </si>
  <si>
    <t xml:space="preserve">Investment License date</t>
  </si>
  <si>
    <t xml:space="preserve">Name of enterprise / branch representative</t>
  </si>
  <si>
    <t>TIN</t>
  </si>
  <si>
    <t>Province</t>
  </si>
  <si>
    <t>District</t>
  </si>
  <si>
    <t xml:space="preserve">Zone 1</t>
  </si>
  <si>
    <t xml:space="preserve">Zone 2</t>
  </si>
  <si>
    <t xml:space="preserve">Zone 3</t>
  </si>
  <si>
    <t>Sector</t>
  </si>
  <si>
    <t>Revenue</t>
  </si>
  <si>
    <t>Expense</t>
  </si>
  <si>
    <t xml:space="preserve">Net profit</t>
  </si>
  <si>
    <t xml:space="preserve">Re-invest net profit</t>
  </si>
  <si>
    <t xml:space="preserve">PT paid</t>
  </si>
  <si>
    <t xml:space="preserve">Benchmark PT Rate</t>
  </si>
  <si>
    <t xml:space="preserve">Benchmark PT</t>
  </si>
  <si>
    <t xml:space="preserve">PT TE</t>
  </si>
  <si>
    <t xml:space="preserve">Tax holiday period (years)</t>
  </si>
  <si>
    <t xml:space="preserve">Date of Registration License</t>
  </si>
  <si>
    <t xml:space="preserve">Businesses engaged in human resource development</t>
  </si>
  <si>
    <t xml:space="preserve">Businesses that apply innovative technologies that are environmentally friendly, resource-efficient, and use clean energy for production</t>
  </si>
  <si>
    <t xml:space="preserve">SEZ developer</t>
  </si>
  <si>
    <t xml:space="preserve">SEZ investor</t>
  </si>
  <si>
    <t xml:space="preserve">Activities on production industry, services on tourism industry development, services in public health, education, sport and physical activity, and real estate development</t>
  </si>
  <si>
    <t xml:space="preserve">Income from activities that provide a public benefit or social purpose, such as art, sport etc</t>
  </si>
  <si>
    <t xml:space="preserve">Rent from the assets of a business operator who complies with their income tax obligations</t>
  </si>
  <si>
    <t xml:space="preserve">Income from the transfer of real estate rights recorded in the balance sheet of a business operator</t>
  </si>
  <si>
    <t xml:space="preserve">Activity 1 of Art. 9, IPL</t>
  </si>
  <si>
    <t xml:space="preserve">Activity 2 of Art. 9, IPL</t>
  </si>
  <si>
    <t xml:space="preserve">Activity 3 of Art. 9, IPL</t>
  </si>
  <si>
    <t xml:space="preserve">Activity 4 of Art. 9, IPL</t>
  </si>
  <si>
    <t xml:space="preserve">Activity 5 of Art. 9, IPL</t>
  </si>
  <si>
    <t xml:space="preserve">Activity 6 of Art. 9, IPL</t>
  </si>
  <si>
    <t xml:space="preserve">Activity 7 of Art. 9, IPL</t>
  </si>
  <si>
    <t xml:space="preserve">Activity 8 of Art. 9, IPL</t>
  </si>
  <si>
    <t xml:space="preserve">Activity 9 of Art. 9, IPL</t>
  </si>
  <si>
    <t xml:space="preserve">List of enterprises holding VAT system</t>
  </si>
  <si>
    <t xml:space="preserve">date of re-invest</t>
  </si>
  <si>
    <t xml:space="preserve">Amount of net-profit re-invested (billion Kip)</t>
  </si>
  <si>
    <t xml:space="preserve">Amount of total assets (billio Kip)</t>
  </si>
  <si>
    <t xml:space="preserve">Annual turnover (billion Kip)</t>
  </si>
  <si>
    <t xml:space="preserve">Numbers of staff</t>
  </si>
  <si>
    <t xml:space="preserve">Registration date of firms in Lao Stock Exchange</t>
  </si>
  <si>
    <t xml:space="preserve">TE
#1</t>
  </si>
  <si>
    <t xml:space="preserve">TE
#2</t>
  </si>
  <si>
    <t xml:space="preserve">TE
#3</t>
  </si>
  <si>
    <t xml:space="preserve">TE
#4</t>
  </si>
  <si>
    <t xml:space="preserve">TE
#5</t>
  </si>
  <si>
    <t xml:space="preserve">TE
#6</t>
  </si>
  <si>
    <t xml:space="preserve">TE
#7</t>
  </si>
  <si>
    <t xml:space="preserve">TE
#8</t>
  </si>
  <si>
    <t xml:space="preserve">TE
#9</t>
  </si>
  <si>
    <t xml:space="preserve">TE
#10</t>
  </si>
  <si>
    <t xml:space="preserve">TE
#11</t>
  </si>
  <si>
    <t xml:space="preserve">TE
#12</t>
  </si>
  <si>
    <t xml:space="preserve">TE
#13</t>
  </si>
  <si>
    <t xml:space="preserve">TE
#14</t>
  </si>
  <si>
    <t xml:space="preserve">TE
#15</t>
  </si>
  <si>
    <t xml:space="preserve">TE
#16</t>
  </si>
  <si>
    <t xml:space="preserve">TE
#17</t>
  </si>
  <si>
    <t xml:space="preserve">TE
#18</t>
  </si>
  <si>
    <t xml:space="preserve">TE
#19</t>
  </si>
  <si>
    <t xml:space="preserve">TE
#20</t>
  </si>
  <si>
    <t xml:space="preserve">TE
#Other</t>
  </si>
  <si>
    <t>TE#</t>
  </si>
  <si>
    <t xml:space="preserve">Profit Tax TE</t>
  </si>
  <si>
    <t xml:space="preserve">ບໍລິສັດ ຮຸ້ນສ່ວນຕິນເງ່ຍ ລາວ ຈຳກັດ</t>
  </si>
  <si>
    <t>763723844-000</t>
  </si>
  <si>
    <t>Champasak</t>
  </si>
  <si>
    <t xml:space="preserve">Paksong District</t>
  </si>
  <si>
    <t>Agriculture</t>
  </si>
  <si>
    <t xml:space="preserve">ບໍລິສັດ  LaosŒThailand »ô¸ µ¾¤²¾ì¾ ຈຳກັດ</t>
  </si>
  <si>
    <t>602733805-900</t>
  </si>
  <si>
    <t>Savannakhet</t>
  </si>
  <si>
    <t xml:space="preserve">Outhoumphone District</t>
  </si>
  <si>
    <t xml:space="preserve">ບໍລິສັດ ແມ່ຂອງປູກຕົ້ນໄມ້ ຈຳກັດ</t>
  </si>
  <si>
    <t>379505006-900</t>
  </si>
  <si>
    <t>Bolikhamsai</t>
  </si>
  <si>
    <t xml:space="preserve">ບໍລິສັດ ເອັສ໌ທີດີ ຟຣາມ ຈຳກັດ</t>
  </si>
  <si>
    <t>140243135-000</t>
  </si>
  <si>
    <t xml:space="preserve">Vientiane Capital Province</t>
  </si>
  <si>
    <t xml:space="preserve">Naxaithong District</t>
  </si>
  <si>
    <t xml:space="preserve">Bank Taiwan ໂຄໂອເປີເຣທີບ ສາຂາVientiane Capital</t>
  </si>
  <si>
    <t>851705381-000</t>
  </si>
  <si>
    <t>Banking</t>
  </si>
  <si>
    <t xml:space="preserve">Bank Commerceຕ່າງCountryລາວ ມະຫາຊົນ</t>
  </si>
  <si>
    <t>909954240-900</t>
  </si>
  <si>
    <t xml:space="preserve">Chanthabuly District</t>
  </si>
  <si>
    <t xml:space="preserve">®ðìò¦ñ© LaosÀ¸ó- ´½¹¾§ö-</t>
  </si>
  <si>
    <t>729549606-900</t>
  </si>
  <si>
    <t xml:space="preserve">Xaysetha District</t>
  </si>
  <si>
    <t>Commerce</t>
  </si>
  <si>
    <t xml:space="preserve">ບໍລິສັດ ລາວ ຄາງທາຍ ຜະລິດຢາພື້ນDistrict ຈຳກັດ</t>
  </si>
  <si>
    <t>765173026-000</t>
  </si>
  <si>
    <t xml:space="preserve">Xaythany District</t>
  </si>
  <si>
    <t xml:space="preserve">ບໍລິສັດ ພັດທະນາຕົວDistrictອັດສະລິຍະ ຈຳກັດ</t>
  </si>
  <si>
    <t>670341668-000</t>
  </si>
  <si>
    <t>Construction</t>
  </si>
  <si>
    <t xml:space="preserve">ບໍລິສັດ ບໍລິການທີ່ປຶກສາ ລາວນໍ້າຄຳ ດ້ານແຮ່ທາດ ຈຳກັດ</t>
  </si>
  <si>
    <t>508054437-000</t>
  </si>
  <si>
    <t>Consultancy</t>
  </si>
  <si>
    <t xml:space="preserve">ບໍລິສັດ ຊິນດາ ທີ່ປຶກສາບັນຊີ ຈຳກັດຜູ້ດຽວ</t>
  </si>
  <si>
    <t>170631442-000</t>
  </si>
  <si>
    <t xml:space="preserve">ບໍລິສັດ ຮຸ່ງເຮືອງ ຄຸນນະທຳ ທີ່ປຶກສາກົດໝາຍ ຈຳກັດ</t>
  </si>
  <si>
    <t>126321627-000</t>
  </si>
  <si>
    <t xml:space="preserve">Sisattanak District</t>
  </si>
  <si>
    <t xml:space="preserve">ບໍລິສັດ ພົມສຸພາແອນຊັນ ຈຳກັດ</t>
  </si>
  <si>
    <t>587445017-000</t>
  </si>
  <si>
    <t xml:space="preserve">Sikhottabong District</t>
  </si>
  <si>
    <t xml:space="preserve">ບໍລິສັດ ພູທອງ ທີ່ປຶກສາ ສຳຫຼວດບໍ່ແຮ່ ຈຳກັດຜູ້ດຽວ</t>
  </si>
  <si>
    <t>822868467-000</t>
  </si>
  <si>
    <t xml:space="preserve">ບໍລິສັດ ເຄ ແອນ ວີລີໂກ ຄາວໂຊລ ຈຳກັດຜູ້ດຽວ</t>
  </si>
  <si>
    <t>057258273-000</t>
  </si>
  <si>
    <t xml:space="preserve">ບໍລິສັດ ພີ ເຮັສ ແອວ ລໍ ຈຳກັດຜູ້ດຽວ</t>
  </si>
  <si>
    <t>773663486-000</t>
  </si>
  <si>
    <t xml:space="preserve">ບໍລິສັັດ ຈຽນຢີ່ ທີ່ປຶກສາ ຈຳກັດຜູ້ດຽວ</t>
  </si>
  <si>
    <t>210408429-000</t>
  </si>
  <si>
    <t xml:space="preserve">ສູນວິຊາຊີບ ຊີເອັມຊີ ຈຳກັດ</t>
  </si>
  <si>
    <t>588616406-900</t>
  </si>
  <si>
    <t xml:space="preserve">Hadxayfong District</t>
  </si>
  <si>
    <t>Education</t>
  </si>
  <si>
    <t xml:space="preserve">ໂຮງຮຽນລ້ຽງເດັກ ແລະ ອະນຸບານ ສີດາລາ</t>
  </si>
  <si>
    <t>087635121-000</t>
  </si>
  <si>
    <t xml:space="preserve">®ðìò¦ñ© Ä³³É¾ ນໍ້າ¤¼®3 ¥¿¡ñ©°øÉ©¼¸</t>
  </si>
  <si>
    <t>232280925-900</t>
  </si>
  <si>
    <t>Xiangkhouang</t>
  </si>
  <si>
    <t xml:space="preserve">Khoune District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</si>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</sst>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0">
    <font>
      <sz val="12.000000"/>
      <color theme="1"/>
      <name val="Calibri"/>
      <scheme val="minor"/>
    </font>
    <font>
      <sz val="10.000000"/>
      <color theme="1"/>
      <name val="Arial"/>
    </font>
    <font>
      <b/>
      <sz val="10.000000"/>
      <color theme="1"/>
      <name val="Arial"/>
    </font>
    <font>
      <b/>
      <sz val="10.000000"/>
      <color theme="1"/>
      <name val="Times New Roman"/>
    </font>
    <font>
      <b/>
      <sz val="8.000000"/>
      <color theme="1"/>
      <name val="Arial"/>
    </font>
    <font>
      <b/>
      <sz val="8.000000"/>
      <color indexed="64"/>
      <name val="Arial"/>
    </font>
    <font>
      <sz val="8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sz val="8.000000"/>
      <color indexed="64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6795556505021"/>
      </patternFill>
    </fill>
    <fill>
      <patternFill patternType="solid">
        <fgColor indexed="5"/>
      </patternFill>
    </fill>
    <fill>
      <patternFill patternType="solid">
        <fgColor theme="3" tint="0.79995117038483843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52">
    <xf fontId="0" fillId="0" borderId="0" numFmtId="0" xfId="0"/>
    <xf fontId="1" fillId="0" borderId="0" numFmtId="0" xfId="0" applyFont="1"/>
    <xf fontId="1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 vertical="center"/>
    </xf>
    <xf fontId="1" fillId="0" borderId="0" numFmtId="164" xfId="1" applyNumberFormat="1" applyFont="1" applyAlignment="1">
      <alignment vertical="center"/>
    </xf>
    <xf fontId="1" fillId="0" borderId="0" numFmtId="0" xfId="0" applyFont="1" applyAlignment="1">
      <alignment horizontal="center"/>
    </xf>
    <xf fontId="2" fillId="2" borderId="0" numFmtId="0" xfId="0" applyFont="1" applyFill="1" applyAlignment="1">
      <alignment horizontal="center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3" borderId="1" numFmtId="49" xfId="0" applyNumberFormat="1" applyFont="1" applyFill="1" applyBorder="1" applyAlignment="1">
      <alignment horizontal="center" vertical="center" wrapText="1"/>
    </xf>
    <xf fontId="4" fillId="0" borderId="2" numFmtId="49" xfId="0" applyNumberFormat="1" applyFont="1" applyBorder="1" applyAlignment="1">
      <alignment horizontal="center" vertical="center" wrapText="1"/>
    </xf>
    <xf fontId="4" fillId="0" borderId="3" numFmtId="49" xfId="0" applyNumberFormat="1" applyFont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4" fillId="3" borderId="1" numFmtId="164" xfId="1" applyNumberFormat="1" applyFont="1" applyFill="1" applyBorder="1" applyAlignment="1">
      <alignment horizontal="center" vertical="center" wrapText="1"/>
    </xf>
    <xf fontId="5" fillId="3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/>
    </xf>
    <xf fontId="3" fillId="4" borderId="0" numFmtId="0" xfId="0" applyFont="1" applyFill="1" applyAlignment="1">
      <alignment horizontal="center" vertical="center"/>
    </xf>
    <xf fontId="6" fillId="0" borderId="4" numFmtId="0" xfId="0" applyFont="1" applyBorder="1" applyAlignment="1">
      <alignment vertical="center"/>
    </xf>
    <xf fontId="6" fillId="0" borderId="4" numFmtId="15" xfId="0" applyNumberFormat="1" applyFont="1" applyBorder="1" applyAlignment="1">
      <alignment horizontal="right" vertical="center"/>
    </xf>
    <xf fontId="6" fillId="0" borderId="0" numFmtId="49" xfId="0" applyNumberFormat="1" applyFont="1" applyAlignment="1">
      <alignment horizontal="left" vertical="center"/>
    </xf>
    <xf fontId="6" fillId="0" borderId="4" numFmtId="49" xfId="0" applyNumberFormat="1" applyFont="1" applyBorder="1" applyAlignment="1">
      <alignment horizontal="left" vertical="center"/>
    </xf>
    <xf fontId="6" fillId="0" borderId="4" numFmtId="0" xfId="0" applyFont="1" applyBorder="1"/>
    <xf fontId="6" fillId="0" borderId="4" numFmtId="165" xfId="1" applyNumberFormat="1" applyFont="1" applyBorder="1" applyAlignment="1">
      <alignment vertical="center"/>
    </xf>
    <xf fontId="6" fillId="0" borderId="4" numFmtId="165" xfId="1" applyNumberFormat="1" applyFont="1" applyBorder="1" applyAlignment="1">
      <alignment horizontal="center" vertical="center"/>
    </xf>
    <xf fontId="6" fillId="0" borderId="4" numFmtId="9" xfId="2" applyNumberFormat="1" applyFont="1" applyBorder="1" applyAlignment="1">
      <alignment horizontal="center" vertical="center"/>
    </xf>
    <xf fontId="6" fillId="0" borderId="4" numFmtId="164" xfId="0" applyNumberFormat="1" applyFont="1" applyBorder="1" applyAlignment="1">
      <alignment vertical="center"/>
    </xf>
    <xf fontId="6" fillId="0" borderId="4" numFmtId="164" xfId="1" applyNumberFormat="1" applyFont="1" applyBorder="1" applyAlignment="1">
      <alignment vertical="center"/>
    </xf>
    <xf fontId="6" fillId="0" borderId="4" numFmtId="165" xfId="0" applyNumberFormat="1" applyFont="1" applyBorder="1"/>
    <xf fontId="7" fillId="5" borderId="4" numFmtId="0" xfId="0" applyFont="1" applyFill="1" applyBorder="1" applyAlignment="1">
      <alignment horizontal="center"/>
    </xf>
    <xf fontId="8" fillId="4" borderId="4" numFmtId="0" xfId="0" applyFont="1" applyFill="1" applyBorder="1" applyAlignment="1">
      <alignment horizontal="center"/>
    </xf>
    <xf fontId="8" fillId="4" borderId="0" numFmtId="164" xfId="0" applyNumberFormat="1" applyFont="1" applyFill="1" applyAlignment="1">
      <alignment horizontal="center" vertical="center"/>
    </xf>
    <xf fontId="9" fillId="0" borderId="4" numFmtId="0" xfId="0" applyFont="1" applyBorder="1" applyAlignment="1">
      <alignment vertical="center"/>
    </xf>
    <xf fontId="6" fillId="0" borderId="4" numFmtId="0" xfId="0" applyFont="1" applyBorder="1" applyAlignment="1">
      <alignment horizontal="left" vertical="center"/>
    </xf>
    <xf fontId="6" fillId="0" borderId="4" numFmtId="1" xfId="1" applyNumberFormat="1" applyFont="1" applyBorder="1" applyAlignment="1">
      <alignment vertical="center"/>
    </xf>
    <xf fontId="6" fillId="0" borderId="4" numFmtId="1" xfId="0" applyNumberFormat="1" applyFont="1" applyBorder="1" applyAlignment="1">
      <alignment vertical="center"/>
    </xf>
    <xf fontId="1" fillId="0" borderId="5" numFmtId="0" xfId="0" applyFont="1" applyBorder="1"/>
    <xf fontId="6" fillId="0" borderId="6" numFmtId="0" xfId="0" applyFont="1" applyBorder="1" applyAlignment="1">
      <alignment vertical="center"/>
    </xf>
    <xf fontId="6" fillId="0" borderId="6" numFmtId="15" xfId="0" applyNumberFormat="1" applyFont="1" applyBorder="1" applyAlignment="1">
      <alignment horizontal="right" vertical="center"/>
    </xf>
    <xf fontId="6" fillId="0" borderId="6" numFmtId="49" xfId="0" applyNumberFormat="1" applyFont="1" applyBorder="1" applyAlignment="1">
      <alignment horizontal="left" vertical="center"/>
    </xf>
    <xf fontId="9" fillId="0" borderId="6" numFmtId="0" xfId="0" applyFont="1" applyBorder="1" applyAlignment="1">
      <alignment vertical="center"/>
    </xf>
    <xf fontId="6" fillId="0" borderId="6" numFmtId="0" xfId="0" applyFont="1" applyBorder="1"/>
    <xf fontId="6" fillId="0" borderId="6" numFmtId="165" xfId="1" applyNumberFormat="1" applyFont="1" applyBorder="1" applyAlignment="1">
      <alignment vertical="center"/>
    </xf>
    <xf fontId="6" fillId="0" borderId="6" numFmtId="165" xfId="1" applyNumberFormat="1" applyFont="1" applyBorder="1" applyAlignment="1">
      <alignment horizontal="center" vertical="center"/>
    </xf>
    <xf fontId="6" fillId="0" borderId="6" numFmtId="9" xfId="2" applyNumberFormat="1" applyFont="1" applyBorder="1" applyAlignment="1">
      <alignment horizontal="center" vertical="center"/>
    </xf>
    <xf fontId="6" fillId="0" borderId="6" numFmtId="164" xfId="1" applyNumberFormat="1" applyFont="1" applyBorder="1" applyAlignment="1">
      <alignment vertical="center"/>
    </xf>
    <xf fontId="6" fillId="0" borderId="6" numFmtId="165" xfId="0" applyNumberFormat="1" applyFont="1" applyBorder="1"/>
    <xf fontId="7" fillId="5" borderId="6" numFmtId="0" xfId="0" applyFont="1" applyFill="1" applyBorder="1" applyAlignment="1">
      <alignment horizontal="center"/>
    </xf>
    <xf fontId="8" fillId="4" borderId="6" numFmtId="0" xfId="0" applyFont="1" applyFill="1" applyBorder="1" applyAlignment="1">
      <alignment horizontal="center"/>
    </xf>
    <xf fontId="8" fillId="4" borderId="7" numFmtId="164" xfId="0" applyNumberFormat="1" applyFont="1" applyFill="1" applyBorder="1" applyAlignment="1">
      <alignment horizontal="center" vertical="center"/>
    </xf>
    <xf fontId="1" fillId="0" borderId="0" numFmtId="165" xfId="1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theme="1"/>
    <outlinePr applyStyles="0" summaryBelow="1" summaryRight="1" showOutlineSymbols="1"/>
    <pageSetUpPr autoPageBreaks="1" fitToPage="0"/>
  </sheetPr>
  <sheetViews>
    <sheetView zoomScale="156" workbookViewId="0">
      <pane xSplit="4" ySplit="1" topLeftCell="E2" activePane="bottomRight" state="frozen"/>
      <selection activeCell="B3" activeCellId="0" sqref="B3"/>
    </sheetView>
  </sheetViews>
  <sheetFormatPr defaultColWidth="10.875" defaultRowHeight="16.5"/>
  <cols>
    <col customWidth="1" min="1" max="1" style="2" width="5.125"/>
    <col customWidth="1" min="2" max="2" style="2" width="16.375"/>
    <col bestFit="1" customWidth="1" min="3" max="3" style="2" width="30.625"/>
    <col customWidth="1" min="4" max="4" style="2" width="14.125"/>
    <col customWidth="1" min="5" max="5" style="2" width="19.375"/>
    <col customWidth="1" min="6" max="6" style="2" width="14.875"/>
    <col customWidth="1" min="7" max="7" style="2" width="7.625"/>
    <col customWidth="1" min="8" max="8" style="3" width="7.125"/>
    <col customWidth="1" min="9" max="9" style="3" width="7"/>
    <col customWidth="1" min="10" max="10" style="2" width="9.375"/>
    <col customWidth="1" min="11" max="13" style="4" width="12.875"/>
    <col customWidth="1" min="14" max="14" style="4" width="10.125"/>
    <col customWidth="1" min="15" max="16" style="5" width="10.5"/>
    <col customWidth="1" min="17" max="17" style="4" width="11.5"/>
    <col customWidth="1" min="18" max="18" style="6" width="11.125"/>
    <col customWidth="1" min="19" max="19" style="6" width="7.875"/>
    <col min="20" max="20" style="1" width="10.875"/>
    <col customWidth="1" min="21" max="21" style="1" width="10.125"/>
    <col customWidth="1" min="22" max="22" style="1" width="18.125"/>
    <col min="23" max="24" style="1" width="10.875"/>
    <col customWidth="1" min="25" max="25" style="1" width="23.375"/>
    <col customWidth="1" min="26" max="27" style="1" width="15"/>
    <col customWidth="1" min="28" max="28" style="1" width="15.875"/>
    <col min="29" max="44" style="1" width="10.875"/>
    <col customWidth="1" min="45" max="46" style="7" width="5.125"/>
    <col customWidth="1" min="47" max="48" style="7" width="8"/>
    <col customWidth="1" min="49" max="51" style="7" width="5.125"/>
    <col customWidth="1" min="52" max="52" style="7" width="8"/>
    <col customWidth="1" min="53" max="65" style="7" width="5.125"/>
    <col customWidth="1" min="66" max="66" style="8" width="10.625"/>
    <col customWidth="1" min="67" max="67" style="9" width="14.625"/>
    <col min="68" max="16384" style="1" width="10.875"/>
  </cols>
  <sheetData>
    <row r="1" s="10" customFormat="1" ht="63">
      <c r="A1" s="11" t="s">
        <v>0</v>
      </c>
      <c r="B1" s="11" t="s">
        <v>1</v>
      </c>
      <c r="C1" s="12" t="s">
        <v>2</v>
      </c>
      <c r="D1" s="13" t="s">
        <v>3</v>
      </c>
      <c r="E1" s="11" t="s">
        <v>4</v>
      </c>
      <c r="F1" s="11" t="s">
        <v>5</v>
      </c>
      <c r="G1" s="14" t="s">
        <v>6</v>
      </c>
      <c r="H1" s="14" t="s">
        <v>7</v>
      </c>
      <c r="I1" s="14" t="s">
        <v>8</v>
      </c>
      <c r="J1" s="11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7" t="s">
        <v>65</v>
      </c>
      <c r="BO1" s="18" t="s">
        <v>66</v>
      </c>
    </row>
    <row r="2">
      <c r="A2" s="19">
        <v>2021</v>
      </c>
      <c r="B2" s="20">
        <v>41899</v>
      </c>
      <c r="C2" s="21" t="s">
        <v>67</v>
      </c>
      <c r="D2" s="21" t="s">
        <v>68</v>
      </c>
      <c r="E2" s="22" t="s">
        <v>69</v>
      </c>
      <c r="F2" s="22" t="s">
        <v>70</v>
      </c>
      <c r="G2" s="19">
        <f>IF(ISNUMBER(MATCH(F2,#REF!,0)),1,0)</f>
        <v>0</v>
      </c>
      <c r="H2" s="23">
        <f>IF(ISNUMBER(MATCH(F2,#REF!,0)),1,0)</f>
        <v>0</v>
      </c>
      <c r="I2" s="23"/>
      <c r="J2" s="22" t="s">
        <v>71</v>
      </c>
      <c r="K2" s="24">
        <v>200000000</v>
      </c>
      <c r="L2" s="24">
        <v>80000000</v>
      </c>
      <c r="M2" s="24">
        <f t="shared" ref="M2:M18" si="0">K2-L2</f>
        <v>120000000</v>
      </c>
      <c r="N2" s="24"/>
      <c r="O2" s="25">
        <v>2000000</v>
      </c>
      <c r="P2" s="26">
        <f t="shared" ref="P2:P22" si="1">IF(A2=2022,0.2,IF(J2="Mining",0.35,(IF(A2&lt;2020,0.24,0.2))))</f>
        <v>0.20000000000000001</v>
      </c>
      <c r="Q2" s="27">
        <f t="shared" ref="Q2:Q22" si="2">IF(AND(M2&gt;=0,N2&gt;=0),(M2+N2)*P2,"")</f>
        <v>24000000</v>
      </c>
      <c r="R2" s="28">
        <f t="shared" ref="R2:R22" si="3">IF(AND(M2&gt;=0,O2&lt;=Q2),Q2-O2,"")</f>
        <v>22000000</v>
      </c>
      <c r="S2" s="28"/>
      <c r="T2" s="20">
        <v>44927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9">
        <f t="shared" ref="AN2:AN11" si="4">N2</f>
        <v>0</v>
      </c>
      <c r="AO2" s="23">
        <v>1.2</v>
      </c>
      <c r="AP2" s="23">
        <v>2.5</v>
      </c>
      <c r="AQ2" s="23">
        <v>15</v>
      </c>
      <c r="AR2" s="23"/>
      <c r="AS2" s="30">
        <f t="shared" ref="AS2:AS22" ca="1" si="5">IF(AND(AQ2&gt;=6,AQ2&lt;=50,AO2&lt;=1.5,AP2&lt;=3,TODAY()-T2&lt;=1095),1,"")</f>
        <v>1</v>
      </c>
      <c r="AT2" s="30" t="str">
        <f t="shared" ref="AT2:AT22" ca="1" si="6">IF(AND(AQ2&gt;=51,AQ2&lt;=99,AO2&lt;=6,AP2&lt;=6,TODAY()-T2&lt;=1095),2,"")</f>
        <v/>
      </c>
      <c r="AU2" s="30" t="str">
        <f t="shared" ref="AU2:AU22" ca="1" si="7">IF(AND(U2=1,TODAY()&gt;EDATE(B2,S2*12)),3,"")</f>
        <v/>
      </c>
      <c r="AV2" s="30" t="str">
        <f t="shared" ref="AV2:AV22" ca="1" si="8">IF(AND(V2=1,TODAY()&gt;EDATE(B2,S2*12)),4,"")</f>
        <v/>
      </c>
      <c r="AW2" s="30" t="str">
        <f t="shared" ref="AW2:AW22" ca="1" si="9">IF(AND(ISNUMBER(AR2),TODAY()&lt;=EDATE(AR2,48)),5,"")</f>
        <v/>
      </c>
      <c r="AX2" s="30" t="str">
        <f t="shared" ref="AX2:AX22" si="10">IF(AND(AQ2&gt;=6,AQ2&lt;=50,AO2&lt;=1.5,AP2&lt;=3,AL2=1),6,"")</f>
        <v/>
      </c>
      <c r="AY2" s="30" t="str">
        <f t="shared" ref="AY2:AY22" ca="1" si="11">IF(AND(G2=1,OR(AC2=1,AF2=1,AI2=1,AJ2=1,AK2=1),TODAY()&lt;=EDATE(B2,120)),7,"")</f>
        <v/>
      </c>
      <c r="AZ2" s="30" t="str">
        <f t="shared" ref="AZ2:AZ22" ca="1" si="12">IF(AND(H2=1,OR(AC2=1,AF2=1,AI2=1,AJ2=1,AK2=1),TODAY()&lt;=EDATE(B2,48)),8,"")</f>
        <v/>
      </c>
      <c r="BA2" s="30" t="str">
        <f t="shared" ref="BA2:BA22" ca="1" si="13">IF(AND(ISNUMBER(AM2),AN2&gt;0,TODAY()&lt;=EDATE(AM2,12)),9,"")</f>
        <v/>
      </c>
      <c r="BB2" s="30" t="str">
        <f t="shared" ref="BB2:BB22" ca="1" si="14">IF(AND(G2=1,OR(AD2=1,AE2=1,AG2=1,AH2=1),TODAY()&lt;=EDATE(B2,180)),10,"")</f>
        <v/>
      </c>
      <c r="BC2" s="30" t="str">
        <f t="shared" ref="BC2:BC22" ca="1" si="15">IF(AND(H2=1,OR(AD2=1,AE2=1,AG2=1,AH2=1),TODAY()&lt;=EDATE(B2,112)),11,"")</f>
        <v/>
      </c>
      <c r="BD2" s="30" t="str">
        <f t="shared" ref="BD2:BD22" ca="1" si="16">IF(AND(G2=1,W2=1,Y2=1,TODAY()&lt;=EDATE(B2,192)),12,"")</f>
        <v/>
      </c>
      <c r="BE2" s="30" t="str">
        <f t="shared" ref="BE2:BE22" ca="1" si="17">IF(AND(G2=1,W2=1,Y2=1,TODAY()&gt;EDATE(B2,192),TODAY()&lt;=EDATE(B2,252)),13,"")</f>
        <v/>
      </c>
      <c r="BF2" s="30" t="str">
        <f t="shared" ref="BF2:BF22" ca="1" si="18">IF(AND(H2=1,W2=1,Y2=1,TODAY()&lt;=EDATE(B2,96)),14,"")</f>
        <v/>
      </c>
      <c r="BG2" s="30" t="str">
        <f t="shared" ref="BG2:BG22" ca="1" si="19">IF(AND(H2=1,W2=1,Y2=1,TODAY()&gt;EDATE(B2,96),TODAY()&lt;=EDATE(B2,156)),15,"")</f>
        <v/>
      </c>
      <c r="BH2" s="30" t="str">
        <f t="shared" ref="BH2:BH22" ca="1" si="20">IF(OR(AND(G2=1,X2=1,OR(AC2=1,AF2=1,AI2=1,AJ2=1,AK2=1),TODAY()&lt;=EDATE(B2,12*12)),AND(H2=1,X2=1,OR(AC2=1,AF2=1,AI2=1,AJ2=1,AK2=1),TODAY()&lt;=EDATE(B2,12*6)),AND(G2=1,X2=1,OR(AD2=1,AE2=1,AG2=1,AH2=1),TODAY()&lt;=EDATE(B2,12*17)),AND(H2=1,X2=1,OR(AD2=1,AE2=1,AG2=1,AH2=1),TODAY()&lt;=EDATE(B2,12*9))),16,"")</f>
        <v/>
      </c>
      <c r="BI2" s="30" t="str">
        <f t="shared" ref="BI2:BI22" ca="1" si="21">IF(OR(AND(G2=1,X2=1,OR(AE2=1,AG2=1,AH2=1),TODAY()&gt;EDATE(B2,12*17),TODAY()&lt;=EDATE(B2,12*22)),AND(H2=1,X2=1,OR(AE2=1,AG2=1,AH2=1),TODAY()&gt;EDATE(B2,12*9),TODAY()&lt;=EDATE(B2,12*14)),AND(G2=1,X2=1,AF2=1,TODAY()&gt;EDATE(B2,12*12),TODAY()&lt;=EDATE(B2,12*17)),AND(H2=1,X2=1,AF2=1,TODAY()&gt;EDATE(B2,12*6),TODAY()&lt;=EDATE(B2,12*11))),17,"")</f>
        <v/>
      </c>
      <c r="BJ2" s="30" t="str">
        <f t="shared" ref="BJ2:BJ22" si="22">IF(Z2=1,18,"")</f>
        <v/>
      </c>
      <c r="BK2" s="30" t="str">
        <f t="shared" ref="BK2:BK22" si="23">IF(AA2=1,19,"")</f>
        <v/>
      </c>
      <c r="BL2" s="30" t="str">
        <f t="shared" ref="BL2:BL22" si="24">IF(AB2=1,20,"")</f>
        <v/>
      </c>
      <c r="BM2" s="30" t="str">
        <f t="shared" ref="BM2:BM22" ca="1" si="25">IF(AND(R2&gt;0,COUNT(AS2:BL2)=0),"Other","")</f>
        <v/>
      </c>
      <c r="BN2" s="31" t="str">
        <f t="shared" ref="BN2:BN19" ca="1" si="26">IF(COUNTA(AS2:BM2)&gt;0,_xlfn.TEXTJOIN(", ",TRUE,AS2:BM2),"")</f>
        <v>1</v>
      </c>
      <c r="BO2" s="32">
        <f t="shared" ref="BO2:BO22" si="27">R2</f>
        <v>22000000</v>
      </c>
    </row>
    <row r="3">
      <c r="A3" s="19">
        <v>2020</v>
      </c>
      <c r="B3" s="20">
        <v>42995</v>
      </c>
      <c r="C3" s="21" t="s">
        <v>67</v>
      </c>
      <c r="D3" s="21" t="s">
        <v>68</v>
      </c>
      <c r="E3" s="22" t="s">
        <v>69</v>
      </c>
      <c r="F3" s="22" t="s">
        <v>70</v>
      </c>
      <c r="G3" s="19">
        <f>IF(ISNUMBER(MATCH(F3,#REF!,0)),1,0)</f>
        <v>0</v>
      </c>
      <c r="H3" s="23">
        <f>IF(ISNUMBER(MATCH(F3,#REF!,0)),1,0)</f>
        <v>0</v>
      </c>
      <c r="I3" s="23"/>
      <c r="J3" s="22" t="s">
        <v>71</v>
      </c>
      <c r="K3" s="24">
        <v>128000000</v>
      </c>
      <c r="L3" s="24">
        <v>89000000</v>
      </c>
      <c r="M3" s="24">
        <f t="shared" si="0"/>
        <v>39000000</v>
      </c>
      <c r="N3" s="24"/>
      <c r="O3" s="25">
        <v>2500000</v>
      </c>
      <c r="P3" s="26">
        <f t="shared" si="1"/>
        <v>0.20000000000000001</v>
      </c>
      <c r="Q3" s="27">
        <f t="shared" si="2"/>
        <v>7800000</v>
      </c>
      <c r="R3" s="28">
        <f t="shared" si="3"/>
        <v>5300000</v>
      </c>
      <c r="S3" s="28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>
        <v>1</v>
      </c>
      <c r="AJ3" s="23"/>
      <c r="AK3" s="23"/>
      <c r="AL3" s="23"/>
      <c r="AM3" s="23"/>
      <c r="AN3" s="29">
        <f t="shared" si="4"/>
        <v>0</v>
      </c>
      <c r="AO3" s="23"/>
      <c r="AP3" s="23"/>
      <c r="AQ3" s="23"/>
      <c r="AR3" s="23"/>
      <c r="AS3" s="30" t="str">
        <f t="shared" ca="1" si="5"/>
        <v/>
      </c>
      <c r="AT3" s="30" t="str">
        <f t="shared" ca="1" si="6"/>
        <v/>
      </c>
      <c r="AU3" s="30" t="str">
        <f t="shared" ca="1" si="7"/>
        <v/>
      </c>
      <c r="AV3" s="30" t="str">
        <f t="shared" ca="1" si="8"/>
        <v/>
      </c>
      <c r="AW3" s="30" t="str">
        <f t="shared" ca="1" si="9"/>
        <v/>
      </c>
      <c r="AX3" s="30" t="str">
        <f t="shared" si="10"/>
        <v/>
      </c>
      <c r="AY3" s="30" t="str">
        <f t="shared" ca="1" si="11"/>
        <v/>
      </c>
      <c r="AZ3" s="30" t="str">
        <f t="shared" ca="1" si="12"/>
        <v/>
      </c>
      <c r="BA3" s="30" t="str">
        <f t="shared" ca="1" si="13"/>
        <v/>
      </c>
      <c r="BB3" s="30" t="str">
        <f t="shared" ca="1" si="14"/>
        <v/>
      </c>
      <c r="BC3" s="30" t="str">
        <f t="shared" ca="1" si="15"/>
        <v/>
      </c>
      <c r="BD3" s="30" t="str">
        <f t="shared" ca="1" si="16"/>
        <v/>
      </c>
      <c r="BE3" s="30" t="str">
        <f t="shared" ca="1" si="17"/>
        <v/>
      </c>
      <c r="BF3" s="30" t="str">
        <f t="shared" ca="1" si="18"/>
        <v/>
      </c>
      <c r="BG3" s="30" t="str">
        <f t="shared" ca="1" si="19"/>
        <v/>
      </c>
      <c r="BH3" s="30" t="str">
        <f t="shared" ca="1" si="20"/>
        <v/>
      </c>
      <c r="BI3" s="30" t="str">
        <f t="shared" ca="1" si="21"/>
        <v/>
      </c>
      <c r="BJ3" s="30" t="str">
        <f t="shared" si="22"/>
        <v/>
      </c>
      <c r="BK3" s="30" t="str">
        <f t="shared" si="23"/>
        <v/>
      </c>
      <c r="BL3" s="30" t="str">
        <f t="shared" si="24"/>
        <v/>
      </c>
      <c r="BM3" s="30" t="str">
        <f t="shared" ca="1" si="25"/>
        <v>Other</v>
      </c>
      <c r="BN3" s="31" t="str">
        <f t="shared" ca="1" si="26"/>
        <v>Other</v>
      </c>
      <c r="BO3" s="32">
        <f t="shared" si="27"/>
        <v>5300000</v>
      </c>
    </row>
    <row r="4">
      <c r="A4" s="19">
        <v>2018</v>
      </c>
      <c r="B4" s="20">
        <v>42934</v>
      </c>
      <c r="C4" s="21" t="s">
        <v>72</v>
      </c>
      <c r="D4" s="21" t="s">
        <v>73</v>
      </c>
      <c r="E4" s="22" t="s">
        <v>74</v>
      </c>
      <c r="F4" s="33" t="s">
        <v>75</v>
      </c>
      <c r="G4" s="19">
        <f>IF(ISNUMBER(MATCH(F4,#REF!,0)),1,0)</f>
        <v>0</v>
      </c>
      <c r="H4" s="23">
        <f>IF(ISNUMBER(MATCH(F4,#REF!,0)),1,0)</f>
        <v>0</v>
      </c>
      <c r="I4" s="23"/>
      <c r="J4" s="22" t="s">
        <v>71</v>
      </c>
      <c r="K4" s="24">
        <v>45000000</v>
      </c>
      <c r="L4" s="24">
        <v>52000000</v>
      </c>
      <c r="M4" s="24">
        <f t="shared" si="0"/>
        <v>-7000000</v>
      </c>
      <c r="N4" s="24"/>
      <c r="O4" s="25"/>
      <c r="P4" s="26">
        <f t="shared" si="1"/>
        <v>0.23999999999999999</v>
      </c>
      <c r="Q4" s="27" t="str">
        <f t="shared" si="2"/>
        <v/>
      </c>
      <c r="R4" s="28" t="str">
        <f t="shared" si="3"/>
        <v/>
      </c>
      <c r="S4" s="28"/>
      <c r="T4" s="20">
        <v>44835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9">
        <f t="shared" si="4"/>
        <v>0</v>
      </c>
      <c r="AO4" s="23">
        <v>5.7999999999999998</v>
      </c>
      <c r="AP4" s="23">
        <v>4.5</v>
      </c>
      <c r="AQ4" s="23">
        <v>65</v>
      </c>
      <c r="AR4" s="23"/>
      <c r="AS4" s="30" t="str">
        <f t="shared" ca="1" si="5"/>
        <v/>
      </c>
      <c r="AT4" s="30" t="str">
        <f t="shared" ca="1" si="6"/>
        <v/>
      </c>
      <c r="AU4" s="30" t="str">
        <f t="shared" ca="1" si="7"/>
        <v/>
      </c>
      <c r="AV4" s="30" t="str">
        <f t="shared" ca="1" si="8"/>
        <v/>
      </c>
      <c r="AW4" s="30" t="str">
        <f t="shared" ca="1" si="9"/>
        <v/>
      </c>
      <c r="AX4" s="30" t="str">
        <f t="shared" si="10"/>
        <v/>
      </c>
      <c r="AY4" s="30" t="str">
        <f t="shared" ca="1" si="11"/>
        <v/>
      </c>
      <c r="AZ4" s="30" t="str">
        <f t="shared" ca="1" si="12"/>
        <v/>
      </c>
      <c r="BA4" s="30" t="str">
        <f t="shared" ca="1" si="13"/>
        <v/>
      </c>
      <c r="BB4" s="30" t="str">
        <f t="shared" ca="1" si="14"/>
        <v/>
      </c>
      <c r="BC4" s="30" t="str">
        <f t="shared" ca="1" si="15"/>
        <v/>
      </c>
      <c r="BD4" s="30" t="str">
        <f t="shared" ca="1" si="16"/>
        <v/>
      </c>
      <c r="BE4" s="30" t="str">
        <f t="shared" ca="1" si="17"/>
        <v/>
      </c>
      <c r="BF4" s="30" t="str">
        <f t="shared" ca="1" si="18"/>
        <v/>
      </c>
      <c r="BG4" s="30" t="str">
        <f t="shared" ca="1" si="19"/>
        <v/>
      </c>
      <c r="BH4" s="30" t="str">
        <f t="shared" ca="1" si="20"/>
        <v/>
      </c>
      <c r="BI4" s="30" t="str">
        <f t="shared" ca="1" si="21"/>
        <v/>
      </c>
      <c r="BJ4" s="30" t="str">
        <f t="shared" si="22"/>
        <v/>
      </c>
      <c r="BK4" s="30" t="str">
        <f t="shared" si="23"/>
        <v/>
      </c>
      <c r="BL4" s="30" t="str">
        <f t="shared" si="24"/>
        <v/>
      </c>
      <c r="BM4" s="30" t="str">
        <f t="shared" ca="1" si="25"/>
        <v>Other</v>
      </c>
      <c r="BN4" s="31" t="str">
        <f t="shared" ca="1" si="26"/>
        <v>Other</v>
      </c>
      <c r="BO4" s="32" t="str">
        <f t="shared" si="27"/>
        <v/>
      </c>
    </row>
    <row r="5">
      <c r="A5" s="19">
        <v>2019</v>
      </c>
      <c r="B5" s="20">
        <v>41479</v>
      </c>
      <c r="C5" s="21" t="s">
        <v>76</v>
      </c>
      <c r="D5" s="21" t="s">
        <v>77</v>
      </c>
      <c r="E5" s="19" t="s">
        <v>78</v>
      </c>
      <c r="F5" s="34"/>
      <c r="G5" s="19">
        <f>IF(ISNUMBER(MATCH(F5,#REF!,0)),1,0)</f>
        <v>0</v>
      </c>
      <c r="H5" s="23">
        <f>IF(ISNUMBER(MATCH(F5,#REF!,0)),1,0)</f>
        <v>0</v>
      </c>
      <c r="I5" s="23"/>
      <c r="J5" s="22" t="s">
        <v>71</v>
      </c>
      <c r="K5" s="24">
        <v>0</v>
      </c>
      <c r="L5" s="24">
        <v>500000</v>
      </c>
      <c r="M5" s="24">
        <f t="shared" si="0"/>
        <v>-500000</v>
      </c>
      <c r="N5" s="24"/>
      <c r="O5" s="25"/>
      <c r="P5" s="26">
        <f t="shared" si="1"/>
        <v>0.23999999999999999</v>
      </c>
      <c r="Q5" s="27" t="str">
        <f t="shared" si="2"/>
        <v/>
      </c>
      <c r="R5" s="28" t="str">
        <f t="shared" si="3"/>
        <v/>
      </c>
      <c r="S5" s="35">
        <v>10</v>
      </c>
      <c r="T5" s="23"/>
      <c r="U5" s="36">
        <v>1</v>
      </c>
      <c r="V5" s="36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9">
        <f t="shared" si="4"/>
        <v>0</v>
      </c>
      <c r="AO5" s="23"/>
      <c r="AP5" s="23"/>
      <c r="AQ5" s="23"/>
      <c r="AR5" s="23"/>
      <c r="AS5" s="30" t="str">
        <f t="shared" ca="1" si="5"/>
        <v/>
      </c>
      <c r="AT5" s="30" t="str">
        <f t="shared" ca="1" si="6"/>
        <v/>
      </c>
      <c r="AU5" s="30">
        <f t="shared" ca="1" si="7"/>
        <v>3</v>
      </c>
      <c r="AV5" s="30" t="str">
        <f t="shared" ca="1" si="8"/>
        <v/>
      </c>
      <c r="AW5" s="30" t="str">
        <f t="shared" ca="1" si="9"/>
        <v/>
      </c>
      <c r="AX5" s="30" t="str">
        <f t="shared" si="10"/>
        <v/>
      </c>
      <c r="AY5" s="30" t="str">
        <f t="shared" ca="1" si="11"/>
        <v/>
      </c>
      <c r="AZ5" s="30" t="str">
        <f t="shared" ca="1" si="12"/>
        <v/>
      </c>
      <c r="BA5" s="30" t="str">
        <f t="shared" ca="1" si="13"/>
        <v/>
      </c>
      <c r="BB5" s="30" t="str">
        <f t="shared" ca="1" si="14"/>
        <v/>
      </c>
      <c r="BC5" s="30" t="str">
        <f t="shared" ca="1" si="15"/>
        <v/>
      </c>
      <c r="BD5" s="30" t="str">
        <f t="shared" ca="1" si="16"/>
        <v/>
      </c>
      <c r="BE5" s="30" t="str">
        <f t="shared" ca="1" si="17"/>
        <v/>
      </c>
      <c r="BF5" s="30" t="str">
        <f t="shared" ca="1" si="18"/>
        <v/>
      </c>
      <c r="BG5" s="30" t="str">
        <f t="shared" ca="1" si="19"/>
        <v/>
      </c>
      <c r="BH5" s="30" t="str">
        <f t="shared" ca="1" si="20"/>
        <v/>
      </c>
      <c r="BI5" s="30" t="str">
        <f t="shared" ca="1" si="21"/>
        <v/>
      </c>
      <c r="BJ5" s="30" t="str">
        <f t="shared" si="22"/>
        <v/>
      </c>
      <c r="BK5" s="30" t="str">
        <f t="shared" si="23"/>
        <v/>
      </c>
      <c r="BL5" s="30" t="str">
        <f t="shared" si="24"/>
        <v/>
      </c>
      <c r="BM5" s="30" t="str">
        <f t="shared" ca="1" si="25"/>
        <v/>
      </c>
      <c r="BN5" s="31" t="str">
        <f t="shared" ca="1" si="26"/>
        <v>3</v>
      </c>
      <c r="BO5" s="32" t="str">
        <f t="shared" si="27"/>
        <v/>
      </c>
    </row>
    <row r="6">
      <c r="A6" s="19">
        <v>2018</v>
      </c>
      <c r="B6" s="20">
        <v>40843</v>
      </c>
      <c r="C6" s="21" t="s">
        <v>79</v>
      </c>
      <c r="D6" s="21" t="s">
        <v>80</v>
      </c>
      <c r="E6" s="22" t="s">
        <v>81</v>
      </c>
      <c r="F6" s="33" t="s">
        <v>82</v>
      </c>
      <c r="G6" s="19">
        <f>IF(ISNUMBER(MATCH(F6,#REF!,0)),1,0)</f>
        <v>0</v>
      </c>
      <c r="H6" s="23">
        <f>IF(ISNUMBER(MATCH(F6,#REF!,0)),1,0)</f>
        <v>0</v>
      </c>
      <c r="I6" s="23"/>
      <c r="J6" s="22" t="s">
        <v>71</v>
      </c>
      <c r="K6" s="24">
        <v>92000000</v>
      </c>
      <c r="L6" s="24">
        <v>7500000</v>
      </c>
      <c r="M6" s="24">
        <f t="shared" si="0"/>
        <v>84500000</v>
      </c>
      <c r="N6" s="24"/>
      <c r="O6" s="25">
        <v>19500000</v>
      </c>
      <c r="P6" s="26">
        <f t="shared" si="1"/>
        <v>0.23999999999999999</v>
      </c>
      <c r="Q6" s="27">
        <f t="shared" si="2"/>
        <v>20280000</v>
      </c>
      <c r="R6" s="28">
        <f t="shared" si="3"/>
        <v>780000</v>
      </c>
      <c r="S6" s="35">
        <v>10</v>
      </c>
      <c r="T6" s="23"/>
      <c r="U6" s="23"/>
      <c r="V6" s="23">
        <v>1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9">
        <f t="shared" si="4"/>
        <v>0</v>
      </c>
      <c r="AO6" s="23"/>
      <c r="AP6" s="23"/>
      <c r="AQ6" s="23"/>
      <c r="AR6" s="23"/>
      <c r="AS6" s="30" t="str">
        <f t="shared" ca="1" si="5"/>
        <v/>
      </c>
      <c r="AT6" s="30" t="str">
        <f t="shared" ca="1" si="6"/>
        <v/>
      </c>
      <c r="AU6" s="30" t="str">
        <f t="shared" ca="1" si="7"/>
        <v/>
      </c>
      <c r="AV6" s="30">
        <f t="shared" ca="1" si="8"/>
        <v>4</v>
      </c>
      <c r="AW6" s="30" t="str">
        <f t="shared" ca="1" si="9"/>
        <v/>
      </c>
      <c r="AX6" s="30" t="str">
        <f t="shared" si="10"/>
        <v/>
      </c>
      <c r="AY6" s="30" t="str">
        <f t="shared" ca="1" si="11"/>
        <v/>
      </c>
      <c r="AZ6" s="30" t="str">
        <f t="shared" ca="1" si="12"/>
        <v/>
      </c>
      <c r="BA6" s="30" t="str">
        <f t="shared" ca="1" si="13"/>
        <v/>
      </c>
      <c r="BB6" s="30" t="str">
        <f t="shared" ca="1" si="14"/>
        <v/>
      </c>
      <c r="BC6" s="30" t="str">
        <f t="shared" ca="1" si="15"/>
        <v/>
      </c>
      <c r="BD6" s="30" t="str">
        <f t="shared" ca="1" si="16"/>
        <v/>
      </c>
      <c r="BE6" s="30" t="str">
        <f t="shared" ca="1" si="17"/>
        <v/>
      </c>
      <c r="BF6" s="30" t="str">
        <f t="shared" ca="1" si="18"/>
        <v/>
      </c>
      <c r="BG6" s="30" t="str">
        <f t="shared" ca="1" si="19"/>
        <v/>
      </c>
      <c r="BH6" s="30" t="str">
        <f t="shared" ca="1" si="20"/>
        <v/>
      </c>
      <c r="BI6" s="30" t="str">
        <f t="shared" ca="1" si="21"/>
        <v/>
      </c>
      <c r="BJ6" s="30" t="str">
        <f t="shared" si="22"/>
        <v/>
      </c>
      <c r="BK6" s="30" t="str">
        <f t="shared" si="23"/>
        <v/>
      </c>
      <c r="BL6" s="30" t="str">
        <f t="shared" si="24"/>
        <v/>
      </c>
      <c r="BM6" s="30" t="str">
        <f t="shared" ca="1" si="25"/>
        <v/>
      </c>
      <c r="BN6" s="31" t="str">
        <f t="shared" ca="1" si="26"/>
        <v>4</v>
      </c>
      <c r="BO6" s="32">
        <f t="shared" si="27"/>
        <v>780000</v>
      </c>
    </row>
    <row r="7" s="37" customFormat="1">
      <c r="A7" s="19">
        <v>2018</v>
      </c>
      <c r="B7" s="20">
        <v>43916</v>
      </c>
      <c r="C7" s="21" t="s">
        <v>83</v>
      </c>
      <c r="D7" s="21" t="s">
        <v>84</v>
      </c>
      <c r="E7" s="22" t="s">
        <v>81</v>
      </c>
      <c r="F7" s="34"/>
      <c r="G7" s="19">
        <f>IF(ISNUMBER(MATCH(F7,#REF!,0)),1,0)</f>
        <v>0</v>
      </c>
      <c r="H7" s="23">
        <v>1</v>
      </c>
      <c r="I7" s="23"/>
      <c r="J7" s="22" t="s">
        <v>85</v>
      </c>
      <c r="K7" s="24">
        <v>120000000</v>
      </c>
      <c r="L7" s="24">
        <v>27860000</v>
      </c>
      <c r="M7" s="24">
        <f t="shared" si="0"/>
        <v>92140000</v>
      </c>
      <c r="N7" s="24"/>
      <c r="O7" s="25">
        <v>24000000</v>
      </c>
      <c r="P7" s="26">
        <f t="shared" si="1"/>
        <v>0.23999999999999999</v>
      </c>
      <c r="Q7" s="27">
        <f t="shared" si="2"/>
        <v>22113600</v>
      </c>
      <c r="R7" s="28" t="str">
        <f t="shared" si="3"/>
        <v/>
      </c>
      <c r="S7" s="2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9">
        <f t="shared" si="4"/>
        <v>0</v>
      </c>
      <c r="AO7" s="23"/>
      <c r="AP7" s="23"/>
      <c r="AQ7" s="23"/>
      <c r="AR7" s="20">
        <v>44854</v>
      </c>
      <c r="AS7" s="30" t="str">
        <f t="shared" ca="1" si="5"/>
        <v/>
      </c>
      <c r="AT7" s="30" t="str">
        <f t="shared" ca="1" si="6"/>
        <v/>
      </c>
      <c r="AU7" s="30" t="str">
        <f t="shared" ca="1" si="7"/>
        <v/>
      </c>
      <c r="AV7" s="30" t="str">
        <f t="shared" ca="1" si="8"/>
        <v/>
      </c>
      <c r="AW7" s="30">
        <f t="shared" ca="1" si="9"/>
        <v>5</v>
      </c>
      <c r="AX7" s="30" t="str">
        <f t="shared" si="10"/>
        <v/>
      </c>
      <c r="AY7" s="30" t="str">
        <f t="shared" ca="1" si="11"/>
        <v/>
      </c>
      <c r="AZ7" s="30" t="str">
        <f t="shared" ca="1" si="12"/>
        <v/>
      </c>
      <c r="BA7" s="30" t="str">
        <f t="shared" ca="1" si="13"/>
        <v/>
      </c>
      <c r="BB7" s="30" t="str">
        <f t="shared" ca="1" si="14"/>
        <v/>
      </c>
      <c r="BC7" s="30" t="str">
        <f t="shared" ca="1" si="15"/>
        <v/>
      </c>
      <c r="BD7" s="30" t="str">
        <f t="shared" ca="1" si="16"/>
        <v/>
      </c>
      <c r="BE7" s="30" t="str">
        <f t="shared" ca="1" si="17"/>
        <v/>
      </c>
      <c r="BF7" s="30" t="str">
        <f t="shared" ca="1" si="18"/>
        <v/>
      </c>
      <c r="BG7" s="30" t="str">
        <f t="shared" ca="1" si="19"/>
        <v/>
      </c>
      <c r="BH7" s="30" t="str">
        <f t="shared" ca="1" si="20"/>
        <v/>
      </c>
      <c r="BI7" s="30" t="str">
        <f t="shared" ca="1" si="21"/>
        <v/>
      </c>
      <c r="BJ7" s="30" t="str">
        <f t="shared" si="22"/>
        <v/>
      </c>
      <c r="BK7" s="30" t="str">
        <f t="shared" si="23"/>
        <v/>
      </c>
      <c r="BL7" s="30" t="str">
        <f t="shared" si="24"/>
        <v/>
      </c>
      <c r="BM7" s="30" t="str">
        <f t="shared" ca="1" si="25"/>
        <v/>
      </c>
      <c r="BN7" s="31" t="str">
        <f t="shared" ca="1" si="26"/>
        <v>5</v>
      </c>
      <c r="BO7" s="32" t="str">
        <f t="shared" si="27"/>
        <v/>
      </c>
    </row>
    <row r="8" s="37" customFormat="1">
      <c r="A8" s="19">
        <v>2018</v>
      </c>
      <c r="B8" s="20">
        <v>44022</v>
      </c>
      <c r="C8" s="21" t="s">
        <v>86</v>
      </c>
      <c r="D8" s="21" t="s">
        <v>87</v>
      </c>
      <c r="E8" s="22" t="s">
        <v>81</v>
      </c>
      <c r="F8" s="33" t="s">
        <v>88</v>
      </c>
      <c r="G8" s="19">
        <f>IF(ISNUMBER(MATCH(F8,#REF!,0)),1,0)</f>
        <v>0</v>
      </c>
      <c r="H8" s="23">
        <f>IF(ISNUMBER(MATCH(F8,#REF!,0)),1,0)</f>
        <v>0</v>
      </c>
      <c r="I8" s="23"/>
      <c r="J8" s="22" t="s">
        <v>85</v>
      </c>
      <c r="K8" s="24">
        <v>3470000</v>
      </c>
      <c r="L8" s="24">
        <v>2100000</v>
      </c>
      <c r="M8" s="24">
        <f t="shared" si="0"/>
        <v>1370000</v>
      </c>
      <c r="N8" s="24"/>
      <c r="O8" s="25">
        <v>310000</v>
      </c>
      <c r="P8" s="26">
        <f t="shared" si="1"/>
        <v>0.23999999999999999</v>
      </c>
      <c r="Q8" s="27">
        <f t="shared" si="2"/>
        <v>328800</v>
      </c>
      <c r="R8" s="28">
        <f t="shared" si="3"/>
        <v>18800</v>
      </c>
      <c r="S8" s="28"/>
      <c r="T8" s="20">
        <v>44927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>
        <v>1</v>
      </c>
      <c r="AM8" s="23"/>
      <c r="AN8" s="29">
        <f t="shared" si="4"/>
        <v>0</v>
      </c>
      <c r="AO8" s="23">
        <v>1.2</v>
      </c>
      <c r="AP8" s="23">
        <v>2.5</v>
      </c>
      <c r="AQ8" s="23">
        <v>20</v>
      </c>
      <c r="AR8" s="23"/>
      <c r="AS8" s="30">
        <f t="shared" ca="1" si="5"/>
        <v>1</v>
      </c>
      <c r="AT8" s="30" t="str">
        <f t="shared" ca="1" si="6"/>
        <v/>
      </c>
      <c r="AU8" s="30" t="str">
        <f t="shared" ca="1" si="7"/>
        <v/>
      </c>
      <c r="AV8" s="30" t="str">
        <f t="shared" ca="1" si="8"/>
        <v/>
      </c>
      <c r="AW8" s="30" t="str">
        <f t="shared" ca="1" si="9"/>
        <v/>
      </c>
      <c r="AX8" s="30">
        <f t="shared" si="10"/>
        <v>6</v>
      </c>
      <c r="AY8" s="30" t="str">
        <f t="shared" ca="1" si="11"/>
        <v/>
      </c>
      <c r="AZ8" s="30" t="str">
        <f t="shared" ca="1" si="12"/>
        <v/>
      </c>
      <c r="BA8" s="30" t="str">
        <f t="shared" ca="1" si="13"/>
        <v/>
      </c>
      <c r="BB8" s="30" t="str">
        <f t="shared" ca="1" si="14"/>
        <v/>
      </c>
      <c r="BC8" s="30" t="str">
        <f t="shared" ca="1" si="15"/>
        <v/>
      </c>
      <c r="BD8" s="30" t="str">
        <f t="shared" ca="1" si="16"/>
        <v/>
      </c>
      <c r="BE8" s="30" t="str">
        <f t="shared" ca="1" si="17"/>
        <v/>
      </c>
      <c r="BF8" s="30" t="str">
        <f t="shared" ca="1" si="18"/>
        <v/>
      </c>
      <c r="BG8" s="30" t="str">
        <f t="shared" ca="1" si="19"/>
        <v/>
      </c>
      <c r="BH8" s="30" t="str">
        <f t="shared" ca="1" si="20"/>
        <v/>
      </c>
      <c r="BI8" s="30" t="str">
        <f t="shared" ca="1" si="21"/>
        <v/>
      </c>
      <c r="BJ8" s="30" t="str">
        <f t="shared" si="22"/>
        <v/>
      </c>
      <c r="BK8" s="30" t="str">
        <f t="shared" si="23"/>
        <v/>
      </c>
      <c r="BL8" s="30" t="str">
        <f t="shared" si="24"/>
        <v/>
      </c>
      <c r="BM8" s="30" t="str">
        <f t="shared" ca="1" si="25"/>
        <v/>
      </c>
      <c r="BN8" s="31" t="str">
        <f t="shared" ca="1" si="26"/>
        <v xml:space="preserve">1, 6</v>
      </c>
      <c r="BO8" s="32">
        <f t="shared" si="27"/>
        <v>18800</v>
      </c>
    </row>
    <row r="9">
      <c r="A9" s="19">
        <v>2018</v>
      </c>
      <c r="B9" s="20">
        <v>43447</v>
      </c>
      <c r="C9" s="21" t="s">
        <v>89</v>
      </c>
      <c r="D9" s="21" t="s">
        <v>90</v>
      </c>
      <c r="E9" s="22" t="s">
        <v>81</v>
      </c>
      <c r="F9" s="33" t="s">
        <v>91</v>
      </c>
      <c r="G9" s="19">
        <v>1</v>
      </c>
      <c r="H9" s="23">
        <v>0</v>
      </c>
      <c r="I9" s="23"/>
      <c r="J9" s="22" t="s">
        <v>92</v>
      </c>
      <c r="K9" s="24">
        <v>0</v>
      </c>
      <c r="L9" s="24">
        <v>4000000</v>
      </c>
      <c r="M9" s="24">
        <f t="shared" si="0"/>
        <v>-4000000</v>
      </c>
      <c r="N9" s="24"/>
      <c r="O9" s="25">
        <v>0</v>
      </c>
      <c r="P9" s="26">
        <f t="shared" si="1"/>
        <v>0.23999999999999999</v>
      </c>
      <c r="Q9" s="27" t="str">
        <f t="shared" si="2"/>
        <v/>
      </c>
      <c r="R9" s="28" t="str">
        <f t="shared" si="3"/>
        <v/>
      </c>
      <c r="S9" s="2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>
        <v>1</v>
      </c>
      <c r="AG9" s="23"/>
      <c r="AH9" s="23"/>
      <c r="AI9" s="23"/>
      <c r="AJ9" s="23"/>
      <c r="AK9" s="23"/>
      <c r="AL9" s="23"/>
      <c r="AM9" s="23"/>
      <c r="AN9" s="29">
        <f t="shared" si="4"/>
        <v>0</v>
      </c>
      <c r="AO9" s="23"/>
      <c r="AP9" s="23"/>
      <c r="AQ9" s="23"/>
      <c r="AR9" s="23"/>
      <c r="AS9" s="30" t="str">
        <f t="shared" ca="1" si="5"/>
        <v/>
      </c>
      <c r="AT9" s="30" t="str">
        <f t="shared" ca="1" si="6"/>
        <v/>
      </c>
      <c r="AU9" s="30" t="str">
        <f t="shared" ca="1" si="7"/>
        <v/>
      </c>
      <c r="AV9" s="30" t="str">
        <f t="shared" ca="1" si="8"/>
        <v/>
      </c>
      <c r="AW9" s="30" t="str">
        <f t="shared" ca="1" si="9"/>
        <v/>
      </c>
      <c r="AX9" s="30" t="str">
        <f t="shared" si="10"/>
        <v/>
      </c>
      <c r="AY9" s="30">
        <f t="shared" ca="1" si="11"/>
        <v>7</v>
      </c>
      <c r="AZ9" s="30" t="str">
        <f t="shared" ca="1" si="12"/>
        <v/>
      </c>
      <c r="BA9" s="30" t="str">
        <f t="shared" ca="1" si="13"/>
        <v/>
      </c>
      <c r="BB9" s="30" t="str">
        <f t="shared" ca="1" si="14"/>
        <v/>
      </c>
      <c r="BC9" s="30" t="str">
        <f t="shared" ca="1" si="15"/>
        <v/>
      </c>
      <c r="BD9" s="30" t="str">
        <f t="shared" ca="1" si="16"/>
        <v/>
      </c>
      <c r="BE9" s="30" t="str">
        <f t="shared" ca="1" si="17"/>
        <v/>
      </c>
      <c r="BF9" s="30" t="str">
        <f t="shared" ca="1" si="18"/>
        <v/>
      </c>
      <c r="BG9" s="30" t="str">
        <f t="shared" ca="1" si="19"/>
        <v/>
      </c>
      <c r="BH9" s="30" t="str">
        <f t="shared" ca="1" si="20"/>
        <v/>
      </c>
      <c r="BI9" s="30" t="str">
        <f t="shared" ca="1" si="21"/>
        <v/>
      </c>
      <c r="BJ9" s="30" t="str">
        <f t="shared" si="22"/>
        <v/>
      </c>
      <c r="BK9" s="30" t="str">
        <f t="shared" si="23"/>
        <v/>
      </c>
      <c r="BL9" s="30" t="str">
        <f t="shared" si="24"/>
        <v/>
      </c>
      <c r="BM9" s="30" t="str">
        <f t="shared" ca="1" si="25"/>
        <v/>
      </c>
      <c r="BN9" s="31" t="str">
        <f t="shared" ca="1" si="26"/>
        <v>7</v>
      </c>
      <c r="BO9" s="32" t="str">
        <f t="shared" si="27"/>
        <v/>
      </c>
    </row>
    <row r="10">
      <c r="A10" s="19">
        <v>2019</v>
      </c>
      <c r="B10" s="20">
        <v>44604</v>
      </c>
      <c r="C10" s="21" t="s">
        <v>93</v>
      </c>
      <c r="D10" s="21" t="s">
        <v>94</v>
      </c>
      <c r="E10" s="22" t="s">
        <v>81</v>
      </c>
      <c r="F10" s="33" t="s">
        <v>95</v>
      </c>
      <c r="G10" s="19">
        <v>0</v>
      </c>
      <c r="H10" s="23">
        <v>1</v>
      </c>
      <c r="I10" s="23"/>
      <c r="J10" s="22" t="s">
        <v>92</v>
      </c>
      <c r="K10" s="24">
        <v>12389000</v>
      </c>
      <c r="L10" s="24">
        <v>3288800</v>
      </c>
      <c r="M10" s="24">
        <f t="shared" si="0"/>
        <v>9100200</v>
      </c>
      <c r="N10" s="24"/>
      <c r="O10" s="25">
        <v>1500000</v>
      </c>
      <c r="P10" s="26">
        <f t="shared" si="1"/>
        <v>0.23999999999999999</v>
      </c>
      <c r="Q10" s="27">
        <f t="shared" si="2"/>
        <v>2184048</v>
      </c>
      <c r="R10" s="28">
        <f t="shared" si="3"/>
        <v>684048</v>
      </c>
      <c r="S10" s="28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>
        <v>1</v>
      </c>
      <c r="AJ10" s="23"/>
      <c r="AK10" s="23"/>
      <c r="AL10" s="23"/>
      <c r="AM10" s="23"/>
      <c r="AN10" s="29">
        <f t="shared" si="4"/>
        <v>0</v>
      </c>
      <c r="AO10" s="23"/>
      <c r="AP10" s="23"/>
      <c r="AQ10" s="23"/>
      <c r="AR10" s="23"/>
      <c r="AS10" s="30" t="str">
        <f t="shared" ca="1" si="5"/>
        <v/>
      </c>
      <c r="AT10" s="30" t="str">
        <f t="shared" ca="1" si="6"/>
        <v/>
      </c>
      <c r="AU10" s="30" t="str">
        <f t="shared" ca="1" si="7"/>
        <v/>
      </c>
      <c r="AV10" s="30" t="str">
        <f t="shared" ca="1" si="8"/>
        <v/>
      </c>
      <c r="AW10" s="30" t="str">
        <f t="shared" ca="1" si="9"/>
        <v/>
      </c>
      <c r="AX10" s="30" t="str">
        <f t="shared" si="10"/>
        <v/>
      </c>
      <c r="AY10" s="30" t="str">
        <f t="shared" ca="1" si="11"/>
        <v/>
      </c>
      <c r="AZ10" s="30">
        <f t="shared" ca="1" si="12"/>
        <v>8</v>
      </c>
      <c r="BA10" s="30" t="str">
        <f t="shared" ca="1" si="13"/>
        <v/>
      </c>
      <c r="BB10" s="30" t="str">
        <f t="shared" ca="1" si="14"/>
        <v/>
      </c>
      <c r="BC10" s="30" t="str">
        <f t="shared" ca="1" si="15"/>
        <v/>
      </c>
      <c r="BD10" s="30" t="str">
        <f t="shared" ca="1" si="16"/>
        <v/>
      </c>
      <c r="BE10" s="30" t="str">
        <f t="shared" ca="1" si="17"/>
        <v/>
      </c>
      <c r="BF10" s="30" t="str">
        <f t="shared" ca="1" si="18"/>
        <v/>
      </c>
      <c r="BG10" s="30" t="str">
        <f t="shared" ca="1" si="19"/>
        <v/>
      </c>
      <c r="BH10" s="30" t="str">
        <f t="shared" ca="1" si="20"/>
        <v/>
      </c>
      <c r="BI10" s="30" t="str">
        <f t="shared" ca="1" si="21"/>
        <v/>
      </c>
      <c r="BJ10" s="30" t="str">
        <f t="shared" si="22"/>
        <v/>
      </c>
      <c r="BK10" s="30" t="str">
        <f t="shared" si="23"/>
        <v/>
      </c>
      <c r="BL10" s="30" t="str">
        <f t="shared" si="24"/>
        <v/>
      </c>
      <c r="BM10" s="30" t="str">
        <f t="shared" ca="1" si="25"/>
        <v/>
      </c>
      <c r="BN10" s="31" t="str">
        <f t="shared" ca="1" si="26"/>
        <v>8</v>
      </c>
      <c r="BO10" s="32">
        <f t="shared" si="27"/>
        <v>684048</v>
      </c>
    </row>
    <row r="11">
      <c r="A11" s="19">
        <v>2022</v>
      </c>
      <c r="B11" s="20">
        <v>44574</v>
      </c>
      <c r="C11" s="21" t="s">
        <v>96</v>
      </c>
      <c r="D11" s="21" t="s">
        <v>97</v>
      </c>
      <c r="E11" s="22" t="s">
        <v>81</v>
      </c>
      <c r="F11" s="33" t="s">
        <v>91</v>
      </c>
      <c r="G11" s="19">
        <f>IF(ISNUMBER(MATCH(F11,#REF!,0)),1,0)</f>
        <v>0</v>
      </c>
      <c r="H11" s="23">
        <f>IF(ISNUMBER(MATCH(F11,#REF!,0)),1,0)</f>
        <v>0</v>
      </c>
      <c r="I11" s="23"/>
      <c r="J11" s="22" t="s">
        <v>98</v>
      </c>
      <c r="K11" s="24">
        <v>730000000</v>
      </c>
      <c r="L11" s="24">
        <v>543000000</v>
      </c>
      <c r="M11" s="24">
        <f t="shared" si="0"/>
        <v>187000000</v>
      </c>
      <c r="N11" s="24">
        <v>100000000</v>
      </c>
      <c r="O11" s="25">
        <v>25000000</v>
      </c>
      <c r="P11" s="26">
        <f t="shared" si="1"/>
        <v>0.20000000000000001</v>
      </c>
      <c r="Q11" s="27">
        <f t="shared" si="2"/>
        <v>57400000</v>
      </c>
      <c r="R11" s="28">
        <f t="shared" si="3"/>
        <v>32400000</v>
      </c>
      <c r="S11" s="2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0">
        <v>45658</v>
      </c>
      <c r="AN11" s="29">
        <f t="shared" si="4"/>
        <v>100000000</v>
      </c>
      <c r="AO11" s="23"/>
      <c r="AP11" s="23"/>
      <c r="AQ11" s="23"/>
      <c r="AR11" s="23"/>
      <c r="AS11" s="30" t="str">
        <f t="shared" ca="1" si="5"/>
        <v/>
      </c>
      <c r="AT11" s="30" t="str">
        <f t="shared" ca="1" si="6"/>
        <v/>
      </c>
      <c r="AU11" s="30" t="str">
        <f t="shared" ca="1" si="7"/>
        <v/>
      </c>
      <c r="AV11" s="30" t="str">
        <f t="shared" ca="1" si="8"/>
        <v/>
      </c>
      <c r="AW11" s="30" t="str">
        <f t="shared" ca="1" si="9"/>
        <v/>
      </c>
      <c r="AX11" s="30" t="str">
        <f t="shared" si="10"/>
        <v/>
      </c>
      <c r="AY11" s="30" t="str">
        <f t="shared" ca="1" si="11"/>
        <v/>
      </c>
      <c r="AZ11" s="30" t="str">
        <f t="shared" ca="1" si="12"/>
        <v/>
      </c>
      <c r="BA11" s="30">
        <f t="shared" ca="1" si="13"/>
        <v>9</v>
      </c>
      <c r="BB11" s="30" t="str">
        <f t="shared" ca="1" si="14"/>
        <v/>
      </c>
      <c r="BC11" s="30" t="str">
        <f t="shared" ca="1" si="15"/>
        <v/>
      </c>
      <c r="BD11" s="30" t="str">
        <f t="shared" ca="1" si="16"/>
        <v/>
      </c>
      <c r="BE11" s="30" t="str">
        <f t="shared" ca="1" si="17"/>
        <v/>
      </c>
      <c r="BF11" s="30" t="str">
        <f t="shared" ca="1" si="18"/>
        <v/>
      </c>
      <c r="BG11" s="30" t="str">
        <f t="shared" ca="1" si="19"/>
        <v/>
      </c>
      <c r="BH11" s="30" t="str">
        <f t="shared" ca="1" si="20"/>
        <v/>
      </c>
      <c r="BI11" s="30" t="str">
        <f t="shared" ca="1" si="21"/>
        <v/>
      </c>
      <c r="BJ11" s="30" t="str">
        <f t="shared" si="22"/>
        <v/>
      </c>
      <c r="BK11" s="30" t="str">
        <f t="shared" si="23"/>
        <v/>
      </c>
      <c r="BL11" s="30" t="str">
        <f t="shared" si="24"/>
        <v/>
      </c>
      <c r="BM11" s="30" t="str">
        <f t="shared" ca="1" si="25"/>
        <v/>
      </c>
      <c r="BN11" s="31" t="str">
        <f t="shared" ca="1" si="26"/>
        <v>9</v>
      </c>
      <c r="BO11" s="32">
        <f t="shared" si="27"/>
        <v>32400000</v>
      </c>
    </row>
    <row r="12">
      <c r="A12" s="19">
        <v>2018</v>
      </c>
      <c r="B12" s="20">
        <v>42267</v>
      </c>
      <c r="C12" s="21" t="s">
        <v>99</v>
      </c>
      <c r="D12" s="21" t="s">
        <v>100</v>
      </c>
      <c r="E12" s="22" t="s">
        <v>81</v>
      </c>
      <c r="F12" s="33" t="s">
        <v>91</v>
      </c>
      <c r="G12" s="23">
        <v>1</v>
      </c>
      <c r="H12" s="23">
        <v>0</v>
      </c>
      <c r="I12" s="23"/>
      <c r="J12" s="22" t="s">
        <v>101</v>
      </c>
      <c r="K12" s="24">
        <v>3460000</v>
      </c>
      <c r="L12" s="24">
        <v>2000000</v>
      </c>
      <c r="M12" s="24">
        <f t="shared" si="0"/>
        <v>1460000</v>
      </c>
      <c r="N12" s="24"/>
      <c r="O12" s="25">
        <v>150000</v>
      </c>
      <c r="P12" s="26">
        <f t="shared" si="1"/>
        <v>0.23999999999999999</v>
      </c>
      <c r="Q12" s="27">
        <f t="shared" si="2"/>
        <v>350400</v>
      </c>
      <c r="R12" s="28">
        <f t="shared" si="3"/>
        <v>200400</v>
      </c>
      <c r="S12" s="28"/>
      <c r="T12" s="23"/>
      <c r="U12" s="23"/>
      <c r="V12" s="23"/>
      <c r="W12" s="23">
        <v>1</v>
      </c>
      <c r="X12" s="23"/>
      <c r="Y12" s="23">
        <v>1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9">
        <f t="shared" ref="AN12:AN22" si="28">N12</f>
        <v>0</v>
      </c>
      <c r="AO12" s="23"/>
      <c r="AP12" s="23"/>
      <c r="AQ12" s="23"/>
      <c r="AR12" s="23"/>
      <c r="AS12" s="30" t="str">
        <f t="shared" ca="1" si="5"/>
        <v/>
      </c>
      <c r="AT12" s="30" t="str">
        <f t="shared" ca="1" si="6"/>
        <v/>
      </c>
      <c r="AU12" s="30" t="str">
        <f t="shared" ca="1" si="7"/>
        <v/>
      </c>
      <c r="AV12" s="30" t="str">
        <f t="shared" ca="1" si="8"/>
        <v/>
      </c>
      <c r="AW12" s="30" t="str">
        <f t="shared" ca="1" si="9"/>
        <v/>
      </c>
      <c r="AX12" s="30" t="str">
        <f t="shared" si="10"/>
        <v/>
      </c>
      <c r="AY12" s="30" t="str">
        <f t="shared" ca="1" si="11"/>
        <v/>
      </c>
      <c r="AZ12" s="30" t="str">
        <f t="shared" ca="1" si="12"/>
        <v/>
      </c>
      <c r="BA12" s="30" t="str">
        <f t="shared" ca="1" si="13"/>
        <v/>
      </c>
      <c r="BB12" s="30" t="str">
        <f t="shared" ca="1" si="14"/>
        <v/>
      </c>
      <c r="BC12" s="30" t="str">
        <f t="shared" ca="1" si="15"/>
        <v/>
      </c>
      <c r="BD12" s="30">
        <f t="shared" ca="1" si="16"/>
        <v>12</v>
      </c>
      <c r="BE12" s="30" t="str">
        <f t="shared" ca="1" si="17"/>
        <v/>
      </c>
      <c r="BF12" s="30" t="str">
        <f t="shared" ca="1" si="18"/>
        <v/>
      </c>
      <c r="BG12" s="30" t="str">
        <f t="shared" ca="1" si="19"/>
        <v/>
      </c>
      <c r="BH12" s="30" t="str">
        <f t="shared" ca="1" si="20"/>
        <v/>
      </c>
      <c r="BI12" s="30" t="str">
        <f t="shared" ca="1" si="21"/>
        <v/>
      </c>
      <c r="BJ12" s="30" t="str">
        <f t="shared" si="22"/>
        <v/>
      </c>
      <c r="BK12" s="30" t="str">
        <f t="shared" si="23"/>
        <v/>
      </c>
      <c r="BL12" s="30" t="str">
        <f t="shared" si="24"/>
        <v/>
      </c>
      <c r="BM12" s="30" t="str">
        <f t="shared" ca="1" si="25"/>
        <v/>
      </c>
      <c r="BN12" s="31" t="str">
        <f t="shared" ca="1" si="26"/>
        <v>12</v>
      </c>
      <c r="BO12" s="32">
        <f t="shared" si="27"/>
        <v>200400</v>
      </c>
    </row>
    <row r="13">
      <c r="A13" s="19">
        <v>2020</v>
      </c>
      <c r="B13" s="20">
        <v>39299</v>
      </c>
      <c r="C13" s="21" t="s">
        <v>102</v>
      </c>
      <c r="D13" s="21" t="s">
        <v>103</v>
      </c>
      <c r="E13" s="22" t="s">
        <v>81</v>
      </c>
      <c r="F13" s="33" t="s">
        <v>95</v>
      </c>
      <c r="G13" s="19">
        <v>1</v>
      </c>
      <c r="H13" s="23">
        <v>0</v>
      </c>
      <c r="I13" s="23"/>
      <c r="J13" s="22" t="s">
        <v>101</v>
      </c>
      <c r="K13" s="24">
        <v>129000000</v>
      </c>
      <c r="L13" s="24">
        <v>29000000</v>
      </c>
      <c r="M13" s="24">
        <f t="shared" si="0"/>
        <v>100000000</v>
      </c>
      <c r="N13" s="24"/>
      <c r="O13" s="24">
        <v>18900000</v>
      </c>
      <c r="P13" s="26">
        <f t="shared" si="1"/>
        <v>0.20000000000000001</v>
      </c>
      <c r="Q13" s="27">
        <f t="shared" si="2"/>
        <v>20000000</v>
      </c>
      <c r="R13" s="28">
        <f t="shared" si="3"/>
        <v>1100000</v>
      </c>
      <c r="S13" s="28"/>
      <c r="T13" s="23"/>
      <c r="U13" s="23"/>
      <c r="V13" s="23"/>
      <c r="W13" s="23">
        <v>1</v>
      </c>
      <c r="X13" s="23"/>
      <c r="Y13" s="23">
        <v>1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9">
        <f t="shared" si="28"/>
        <v>0</v>
      </c>
      <c r="AO13" s="23"/>
      <c r="AP13" s="23"/>
      <c r="AQ13" s="23"/>
      <c r="AR13" s="23"/>
      <c r="AS13" s="30" t="str">
        <f t="shared" ca="1" si="5"/>
        <v/>
      </c>
      <c r="AT13" s="30" t="str">
        <f t="shared" ca="1" si="6"/>
        <v/>
      </c>
      <c r="AU13" s="30" t="str">
        <f t="shared" ca="1" si="7"/>
        <v/>
      </c>
      <c r="AV13" s="30" t="str">
        <f t="shared" ca="1" si="8"/>
        <v/>
      </c>
      <c r="AW13" s="30" t="str">
        <f t="shared" ca="1" si="9"/>
        <v/>
      </c>
      <c r="AX13" s="30" t="str">
        <f t="shared" si="10"/>
        <v/>
      </c>
      <c r="AY13" s="30" t="str">
        <f t="shared" ca="1" si="11"/>
        <v/>
      </c>
      <c r="AZ13" s="30" t="str">
        <f t="shared" ca="1" si="12"/>
        <v/>
      </c>
      <c r="BA13" s="30" t="str">
        <f t="shared" ca="1" si="13"/>
        <v/>
      </c>
      <c r="BB13" s="30" t="str">
        <f t="shared" ca="1" si="14"/>
        <v/>
      </c>
      <c r="BC13" s="30" t="str">
        <f t="shared" ca="1" si="15"/>
        <v/>
      </c>
      <c r="BD13" s="30" t="str">
        <f t="shared" ca="1" si="16"/>
        <v/>
      </c>
      <c r="BE13" s="30">
        <f t="shared" ca="1" si="17"/>
        <v>13</v>
      </c>
      <c r="BF13" s="30" t="str">
        <f t="shared" ca="1" si="18"/>
        <v/>
      </c>
      <c r="BG13" s="30" t="str">
        <f t="shared" ca="1" si="19"/>
        <v/>
      </c>
      <c r="BH13" s="30" t="str">
        <f t="shared" ca="1" si="20"/>
        <v/>
      </c>
      <c r="BI13" s="30" t="str">
        <f t="shared" ca="1" si="21"/>
        <v/>
      </c>
      <c r="BJ13" s="30" t="str">
        <f t="shared" si="22"/>
        <v/>
      </c>
      <c r="BK13" s="30" t="str">
        <f t="shared" si="23"/>
        <v/>
      </c>
      <c r="BL13" s="30" t="str">
        <f t="shared" si="24"/>
        <v/>
      </c>
      <c r="BM13" s="30" t="str">
        <f t="shared" ca="1" si="25"/>
        <v/>
      </c>
      <c r="BN13" s="31" t="str">
        <f t="shared" ca="1" si="26"/>
        <v>13</v>
      </c>
      <c r="BO13" s="32">
        <f t="shared" si="27"/>
        <v>1100000</v>
      </c>
    </row>
    <row r="14">
      <c r="A14" s="19">
        <v>2018</v>
      </c>
      <c r="B14" s="20">
        <v>44088</v>
      </c>
      <c r="C14" s="21" t="s">
        <v>104</v>
      </c>
      <c r="D14" s="21" t="s">
        <v>105</v>
      </c>
      <c r="E14" s="22" t="s">
        <v>81</v>
      </c>
      <c r="F14" s="33" t="s">
        <v>106</v>
      </c>
      <c r="G14" s="19">
        <f>IF(ISNUMBER(MATCH(F14,#REF!,0)),1,0)</f>
        <v>0</v>
      </c>
      <c r="H14" s="23">
        <v>1</v>
      </c>
      <c r="I14" s="23"/>
      <c r="J14" s="22" t="s">
        <v>101</v>
      </c>
      <c r="K14" s="24">
        <v>378000000</v>
      </c>
      <c r="L14" s="24">
        <v>279000000</v>
      </c>
      <c r="M14" s="24">
        <f t="shared" si="0"/>
        <v>99000000</v>
      </c>
      <c r="N14" s="24"/>
      <c r="O14" s="25">
        <v>19000000</v>
      </c>
      <c r="P14" s="26">
        <f t="shared" si="1"/>
        <v>0.23999999999999999</v>
      </c>
      <c r="Q14" s="27">
        <f t="shared" si="2"/>
        <v>23760000</v>
      </c>
      <c r="R14" s="28">
        <f t="shared" si="3"/>
        <v>4760000</v>
      </c>
      <c r="S14" s="28"/>
      <c r="T14" s="23"/>
      <c r="U14" s="23"/>
      <c r="V14" s="23"/>
      <c r="W14" s="23">
        <v>1</v>
      </c>
      <c r="X14" s="23"/>
      <c r="Y14" s="23">
        <v>1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9">
        <f t="shared" si="28"/>
        <v>0</v>
      </c>
      <c r="AO14" s="23"/>
      <c r="AP14" s="23"/>
      <c r="AQ14" s="23"/>
      <c r="AR14" s="23"/>
      <c r="AS14" s="30" t="str">
        <f t="shared" ca="1" si="5"/>
        <v/>
      </c>
      <c r="AT14" s="30" t="str">
        <f t="shared" ca="1" si="6"/>
        <v/>
      </c>
      <c r="AU14" s="30" t="str">
        <f t="shared" ca="1" si="7"/>
        <v/>
      </c>
      <c r="AV14" s="30" t="str">
        <f t="shared" ca="1" si="8"/>
        <v/>
      </c>
      <c r="AW14" s="30" t="str">
        <f t="shared" ca="1" si="9"/>
        <v/>
      </c>
      <c r="AX14" s="30" t="str">
        <f t="shared" si="10"/>
        <v/>
      </c>
      <c r="AY14" s="30" t="str">
        <f t="shared" ca="1" si="11"/>
        <v/>
      </c>
      <c r="AZ14" s="30" t="str">
        <f t="shared" ca="1" si="12"/>
        <v/>
      </c>
      <c r="BA14" s="30" t="str">
        <f t="shared" ca="1" si="13"/>
        <v/>
      </c>
      <c r="BB14" s="30" t="str">
        <f t="shared" ca="1" si="14"/>
        <v/>
      </c>
      <c r="BC14" s="30" t="str">
        <f t="shared" ca="1" si="15"/>
        <v/>
      </c>
      <c r="BD14" s="30" t="str">
        <f t="shared" ca="1" si="16"/>
        <v/>
      </c>
      <c r="BE14" s="30" t="str">
        <f t="shared" ca="1" si="17"/>
        <v/>
      </c>
      <c r="BF14" s="30">
        <f t="shared" ca="1" si="18"/>
        <v>14</v>
      </c>
      <c r="BG14" s="30" t="str">
        <f t="shared" ca="1" si="19"/>
        <v/>
      </c>
      <c r="BH14" s="30" t="str">
        <f t="shared" ca="1" si="20"/>
        <v/>
      </c>
      <c r="BI14" s="30" t="str">
        <f t="shared" ca="1" si="21"/>
        <v/>
      </c>
      <c r="BJ14" s="30" t="str">
        <f t="shared" si="22"/>
        <v/>
      </c>
      <c r="BK14" s="30" t="str">
        <f t="shared" si="23"/>
        <v/>
      </c>
      <c r="BL14" s="30" t="str">
        <f t="shared" si="24"/>
        <v/>
      </c>
      <c r="BM14" s="30" t="str">
        <f t="shared" ca="1" si="25"/>
        <v/>
      </c>
      <c r="BN14" s="31" t="str">
        <f t="shared" ca="1" si="26"/>
        <v>14</v>
      </c>
      <c r="BO14" s="32">
        <f t="shared" si="27"/>
        <v>4760000</v>
      </c>
    </row>
    <row r="15">
      <c r="A15" s="19">
        <v>2021</v>
      </c>
      <c r="B15" s="20">
        <v>42426</v>
      </c>
      <c r="C15" s="21" t="s">
        <v>107</v>
      </c>
      <c r="D15" s="21" t="s">
        <v>108</v>
      </c>
      <c r="E15" s="22" t="s">
        <v>81</v>
      </c>
      <c r="F15" s="33" t="s">
        <v>109</v>
      </c>
      <c r="G15" s="19">
        <f>IF(ISNUMBER(MATCH(F15,#REF!,0)),1,0)</f>
        <v>0</v>
      </c>
      <c r="H15" s="23">
        <v>1</v>
      </c>
      <c r="I15" s="23"/>
      <c r="J15" s="22" t="s">
        <v>101</v>
      </c>
      <c r="K15" s="24">
        <v>4000000</v>
      </c>
      <c r="L15" s="24">
        <v>3000000</v>
      </c>
      <c r="M15" s="24">
        <f t="shared" si="0"/>
        <v>1000000</v>
      </c>
      <c r="N15" s="24"/>
      <c r="O15" s="24">
        <v>220000</v>
      </c>
      <c r="P15" s="26">
        <f t="shared" si="1"/>
        <v>0.20000000000000001</v>
      </c>
      <c r="Q15" s="27">
        <f t="shared" si="2"/>
        <v>200000</v>
      </c>
      <c r="R15" s="28" t="str">
        <f t="shared" si="3"/>
        <v/>
      </c>
      <c r="S15" s="28"/>
      <c r="T15" s="23"/>
      <c r="U15" s="23"/>
      <c r="V15" s="23"/>
      <c r="W15" s="23">
        <v>1</v>
      </c>
      <c r="X15" s="23"/>
      <c r="Y15" s="23">
        <v>1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9">
        <f t="shared" si="28"/>
        <v>0</v>
      </c>
      <c r="AO15" s="23"/>
      <c r="AP15" s="23"/>
      <c r="AQ15" s="23"/>
      <c r="AR15" s="23"/>
      <c r="AS15" s="30" t="str">
        <f t="shared" ca="1" si="5"/>
        <v/>
      </c>
      <c r="AT15" s="30" t="str">
        <f t="shared" ca="1" si="6"/>
        <v/>
      </c>
      <c r="AU15" s="30" t="str">
        <f t="shared" ca="1" si="7"/>
        <v/>
      </c>
      <c r="AV15" s="30" t="str">
        <f t="shared" ca="1" si="8"/>
        <v/>
      </c>
      <c r="AW15" s="30" t="str">
        <f t="shared" ca="1" si="9"/>
        <v/>
      </c>
      <c r="AX15" s="30" t="str">
        <f t="shared" si="10"/>
        <v/>
      </c>
      <c r="AY15" s="30" t="str">
        <f t="shared" ca="1" si="11"/>
        <v/>
      </c>
      <c r="AZ15" s="30" t="str">
        <f t="shared" ca="1" si="12"/>
        <v/>
      </c>
      <c r="BA15" s="30" t="str">
        <f t="shared" ca="1" si="13"/>
        <v/>
      </c>
      <c r="BB15" s="30" t="str">
        <f t="shared" ca="1" si="14"/>
        <v/>
      </c>
      <c r="BC15" s="30" t="str">
        <f t="shared" ca="1" si="15"/>
        <v/>
      </c>
      <c r="BD15" s="30" t="str">
        <f t="shared" ca="1" si="16"/>
        <v/>
      </c>
      <c r="BE15" s="30" t="str">
        <f t="shared" ca="1" si="17"/>
        <v/>
      </c>
      <c r="BF15" s="30" t="str">
        <f t="shared" ca="1" si="18"/>
        <v/>
      </c>
      <c r="BG15" s="30">
        <f t="shared" ca="1" si="19"/>
        <v>15</v>
      </c>
      <c r="BH15" s="30" t="str">
        <f t="shared" ca="1" si="20"/>
        <v/>
      </c>
      <c r="BI15" s="30" t="str">
        <f t="shared" ca="1" si="21"/>
        <v/>
      </c>
      <c r="BJ15" s="30" t="str">
        <f t="shared" si="22"/>
        <v/>
      </c>
      <c r="BK15" s="30" t="str">
        <f t="shared" si="23"/>
        <v/>
      </c>
      <c r="BL15" s="30" t="str">
        <f t="shared" si="24"/>
        <v/>
      </c>
      <c r="BM15" s="30" t="str">
        <f t="shared" ca="1" si="25"/>
        <v/>
      </c>
      <c r="BN15" s="31" t="str">
        <f t="shared" ca="1" si="26"/>
        <v>15</v>
      </c>
      <c r="BO15" s="32" t="str">
        <f t="shared" si="27"/>
        <v/>
      </c>
    </row>
    <row r="16">
      <c r="A16" s="19">
        <v>2018</v>
      </c>
      <c r="B16" s="20">
        <v>40970</v>
      </c>
      <c r="C16" s="21" t="s">
        <v>110</v>
      </c>
      <c r="D16" s="21" t="s">
        <v>111</v>
      </c>
      <c r="E16" s="22" t="s">
        <v>81</v>
      </c>
      <c r="F16" s="33" t="s">
        <v>109</v>
      </c>
      <c r="G16" s="19">
        <v>1</v>
      </c>
      <c r="H16" s="23">
        <v>0</v>
      </c>
      <c r="I16" s="23"/>
      <c r="J16" s="22" t="s">
        <v>101</v>
      </c>
      <c r="K16" s="24">
        <v>39000000</v>
      </c>
      <c r="L16" s="24">
        <v>28000000</v>
      </c>
      <c r="M16" s="24">
        <f t="shared" si="0"/>
        <v>11000000</v>
      </c>
      <c r="N16" s="24"/>
      <c r="O16" s="25">
        <v>1890000</v>
      </c>
      <c r="P16" s="26">
        <f t="shared" si="1"/>
        <v>0.23999999999999999</v>
      </c>
      <c r="Q16" s="27">
        <f t="shared" si="2"/>
        <v>2640000</v>
      </c>
      <c r="R16" s="28">
        <f t="shared" si="3"/>
        <v>750000</v>
      </c>
      <c r="S16" s="28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>
        <v>1</v>
      </c>
      <c r="AE16" s="23"/>
      <c r="AF16" s="23"/>
      <c r="AG16" s="23"/>
      <c r="AH16" s="23"/>
      <c r="AI16" s="23"/>
      <c r="AJ16" s="23"/>
      <c r="AK16" s="23"/>
      <c r="AL16" s="23"/>
      <c r="AM16" s="23"/>
      <c r="AN16" s="29">
        <f t="shared" si="28"/>
        <v>0</v>
      </c>
      <c r="AO16" s="23"/>
      <c r="AP16" s="23"/>
      <c r="AQ16" s="23"/>
      <c r="AR16" s="23"/>
      <c r="AS16" s="30" t="str">
        <f t="shared" ca="1" si="5"/>
        <v/>
      </c>
      <c r="AT16" s="30" t="str">
        <f t="shared" ca="1" si="6"/>
        <v/>
      </c>
      <c r="AU16" s="30" t="str">
        <f t="shared" ca="1" si="7"/>
        <v/>
      </c>
      <c r="AV16" s="30" t="str">
        <f t="shared" ca="1" si="8"/>
        <v/>
      </c>
      <c r="AW16" s="30" t="str">
        <f t="shared" ca="1" si="9"/>
        <v/>
      </c>
      <c r="AX16" s="30" t="str">
        <f t="shared" si="10"/>
        <v/>
      </c>
      <c r="AY16" s="30" t="str">
        <f t="shared" ca="1" si="11"/>
        <v/>
      </c>
      <c r="AZ16" s="30" t="str">
        <f t="shared" ca="1" si="12"/>
        <v/>
      </c>
      <c r="BA16" s="30" t="str">
        <f t="shared" ca="1" si="13"/>
        <v/>
      </c>
      <c r="BB16" s="30">
        <f t="shared" ca="1" si="14"/>
        <v>10</v>
      </c>
      <c r="BC16" s="30" t="str">
        <f t="shared" ca="1" si="15"/>
        <v/>
      </c>
      <c r="BD16" s="30" t="str">
        <f t="shared" ca="1" si="16"/>
        <v/>
      </c>
      <c r="BE16" s="30" t="str">
        <f t="shared" ca="1" si="17"/>
        <v/>
      </c>
      <c r="BF16" s="30" t="str">
        <f t="shared" ca="1" si="18"/>
        <v/>
      </c>
      <c r="BG16" s="30" t="str">
        <f t="shared" ca="1" si="19"/>
        <v/>
      </c>
      <c r="BH16" s="30" t="str">
        <f t="shared" ca="1" si="20"/>
        <v/>
      </c>
      <c r="BI16" s="30" t="str">
        <f t="shared" ca="1" si="21"/>
        <v/>
      </c>
      <c r="BJ16" s="30" t="str">
        <f t="shared" si="22"/>
        <v/>
      </c>
      <c r="BK16" s="30" t="str">
        <f t="shared" si="23"/>
        <v/>
      </c>
      <c r="BL16" s="30" t="str">
        <f t="shared" si="24"/>
        <v/>
      </c>
      <c r="BM16" s="30" t="str">
        <f t="shared" ca="1" si="25"/>
        <v/>
      </c>
      <c r="BN16" s="31" t="str">
        <f t="shared" ca="1" si="26"/>
        <v>10</v>
      </c>
      <c r="BO16" s="32">
        <f t="shared" si="27"/>
        <v>750000</v>
      </c>
    </row>
    <row r="17">
      <c r="A17" s="19">
        <v>2018</v>
      </c>
      <c r="B17" s="20">
        <v>44459</v>
      </c>
      <c r="C17" s="21" t="s">
        <v>112</v>
      </c>
      <c r="D17" s="21" t="s">
        <v>113</v>
      </c>
      <c r="E17" s="22" t="s">
        <v>81</v>
      </c>
      <c r="F17" s="33" t="s">
        <v>109</v>
      </c>
      <c r="G17" s="19">
        <f>IF(ISNUMBER(MATCH(F17,#REF!,0)),1,0)</f>
        <v>0</v>
      </c>
      <c r="H17" s="23">
        <v>1</v>
      </c>
      <c r="I17" s="23"/>
      <c r="J17" s="22" t="s">
        <v>101</v>
      </c>
      <c r="K17" s="24">
        <v>4280799900</v>
      </c>
      <c r="L17" s="24">
        <v>3760000000</v>
      </c>
      <c r="M17" s="24">
        <f t="shared" si="0"/>
        <v>520799900</v>
      </c>
      <c r="N17" s="24"/>
      <c r="O17" s="25">
        <v>120000000</v>
      </c>
      <c r="P17" s="26">
        <f t="shared" si="1"/>
        <v>0.23999999999999999</v>
      </c>
      <c r="Q17" s="27">
        <f t="shared" si="2"/>
        <v>124991976</v>
      </c>
      <c r="R17" s="28">
        <f t="shared" si="3"/>
        <v>4991976</v>
      </c>
      <c r="S17" s="28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1</v>
      </c>
      <c r="AH17" s="23"/>
      <c r="AI17" s="23"/>
      <c r="AJ17" s="23"/>
      <c r="AK17" s="23"/>
      <c r="AL17" s="23"/>
      <c r="AM17" s="23"/>
      <c r="AN17" s="29">
        <f t="shared" si="28"/>
        <v>0</v>
      </c>
      <c r="AO17" s="23"/>
      <c r="AP17" s="23"/>
      <c r="AQ17" s="23"/>
      <c r="AR17" s="23"/>
      <c r="AS17" s="30" t="str">
        <f t="shared" ca="1" si="5"/>
        <v/>
      </c>
      <c r="AT17" s="30" t="str">
        <f t="shared" ca="1" si="6"/>
        <v/>
      </c>
      <c r="AU17" s="30" t="str">
        <f t="shared" ca="1" si="7"/>
        <v/>
      </c>
      <c r="AV17" s="30" t="str">
        <f t="shared" ca="1" si="8"/>
        <v/>
      </c>
      <c r="AW17" s="30" t="str">
        <f t="shared" ca="1" si="9"/>
        <v/>
      </c>
      <c r="AX17" s="30" t="str">
        <f t="shared" si="10"/>
        <v/>
      </c>
      <c r="AY17" s="30" t="str">
        <f t="shared" ca="1" si="11"/>
        <v/>
      </c>
      <c r="AZ17" s="30" t="str">
        <f t="shared" ca="1" si="12"/>
        <v/>
      </c>
      <c r="BA17" s="30" t="str">
        <f t="shared" ca="1" si="13"/>
        <v/>
      </c>
      <c r="BB17" s="30" t="str">
        <f t="shared" ca="1" si="14"/>
        <v/>
      </c>
      <c r="BC17" s="30">
        <f t="shared" ca="1" si="15"/>
        <v>11</v>
      </c>
      <c r="BD17" s="30" t="str">
        <f t="shared" ca="1" si="16"/>
        <v/>
      </c>
      <c r="BE17" s="30" t="str">
        <f t="shared" ca="1" si="17"/>
        <v/>
      </c>
      <c r="BF17" s="30" t="str">
        <f t="shared" ca="1" si="18"/>
        <v/>
      </c>
      <c r="BG17" s="30" t="str">
        <f t="shared" ca="1" si="19"/>
        <v/>
      </c>
      <c r="BH17" s="30" t="str">
        <f t="shared" ca="1" si="20"/>
        <v/>
      </c>
      <c r="BI17" s="30" t="str">
        <f t="shared" ca="1" si="21"/>
        <v/>
      </c>
      <c r="BJ17" s="30" t="str">
        <f t="shared" si="22"/>
        <v/>
      </c>
      <c r="BK17" s="30" t="str">
        <f t="shared" si="23"/>
        <v/>
      </c>
      <c r="BL17" s="30" t="str">
        <f t="shared" si="24"/>
        <v/>
      </c>
      <c r="BM17" s="30" t="str">
        <f t="shared" ca="1" si="25"/>
        <v/>
      </c>
      <c r="BN17" s="31" t="str">
        <f t="shared" ca="1" si="26"/>
        <v>11</v>
      </c>
      <c r="BO17" s="32">
        <f t="shared" si="27"/>
        <v>4991976</v>
      </c>
    </row>
    <row r="18">
      <c r="A18" s="19">
        <v>2018</v>
      </c>
      <c r="B18" s="20">
        <v>42005</v>
      </c>
      <c r="C18" s="21" t="s">
        <v>114</v>
      </c>
      <c r="D18" s="21" t="s">
        <v>115</v>
      </c>
      <c r="E18" s="22" t="s">
        <v>81</v>
      </c>
      <c r="F18" s="33" t="s">
        <v>109</v>
      </c>
      <c r="G18" s="19">
        <v>1</v>
      </c>
      <c r="H18" s="23">
        <v>0</v>
      </c>
      <c r="I18" s="23"/>
      <c r="J18" s="22" t="s">
        <v>101</v>
      </c>
      <c r="K18" s="24">
        <v>12000000</v>
      </c>
      <c r="L18" s="24">
        <v>0</v>
      </c>
      <c r="M18" s="24">
        <f t="shared" si="0"/>
        <v>12000000</v>
      </c>
      <c r="N18" s="24"/>
      <c r="O18" s="25">
        <v>1800000</v>
      </c>
      <c r="P18" s="26">
        <f t="shared" si="1"/>
        <v>0.23999999999999999</v>
      </c>
      <c r="Q18" s="27">
        <f t="shared" si="2"/>
        <v>2880000</v>
      </c>
      <c r="R18" s="28">
        <f t="shared" si="3"/>
        <v>1080000</v>
      </c>
      <c r="S18" s="28"/>
      <c r="T18" s="23"/>
      <c r="U18" s="23"/>
      <c r="V18" s="23"/>
      <c r="W18" s="23"/>
      <c r="X18" s="23">
        <v>1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>
        <v>1</v>
      </c>
      <c r="AL18" s="23"/>
      <c r="AM18" s="23"/>
      <c r="AN18" s="29">
        <f t="shared" si="28"/>
        <v>0</v>
      </c>
      <c r="AO18" s="23"/>
      <c r="AP18" s="23"/>
      <c r="AQ18" s="23"/>
      <c r="AR18" s="23"/>
      <c r="AS18" s="30" t="str">
        <f t="shared" ca="1" si="5"/>
        <v/>
      </c>
      <c r="AT18" s="30" t="str">
        <f t="shared" ca="1" si="6"/>
        <v/>
      </c>
      <c r="AU18" s="30" t="str">
        <f t="shared" ca="1" si="7"/>
        <v/>
      </c>
      <c r="AV18" s="30" t="str">
        <f t="shared" ca="1" si="8"/>
        <v/>
      </c>
      <c r="AW18" s="30" t="str">
        <f t="shared" ca="1" si="9"/>
        <v/>
      </c>
      <c r="AX18" s="30" t="str">
        <f t="shared" si="10"/>
        <v/>
      </c>
      <c r="AY18" s="30" t="str">
        <f t="shared" ca="1" si="11"/>
        <v/>
      </c>
      <c r="AZ18" s="30" t="str">
        <f t="shared" ca="1" si="12"/>
        <v/>
      </c>
      <c r="BA18" s="30" t="str">
        <f t="shared" ca="1" si="13"/>
        <v/>
      </c>
      <c r="BB18" s="30" t="str">
        <f t="shared" ca="1" si="14"/>
        <v/>
      </c>
      <c r="BC18" s="30" t="str">
        <f t="shared" ca="1" si="15"/>
        <v/>
      </c>
      <c r="BD18" s="30" t="str">
        <f t="shared" ca="1" si="16"/>
        <v/>
      </c>
      <c r="BE18" s="30" t="str">
        <f t="shared" ca="1" si="17"/>
        <v/>
      </c>
      <c r="BF18" s="30" t="str">
        <f t="shared" ca="1" si="18"/>
        <v/>
      </c>
      <c r="BG18" s="30" t="str">
        <f t="shared" ca="1" si="19"/>
        <v/>
      </c>
      <c r="BH18" s="30">
        <f t="shared" ca="1" si="20"/>
        <v>16</v>
      </c>
      <c r="BI18" s="30" t="str">
        <f t="shared" ca="1" si="21"/>
        <v/>
      </c>
      <c r="BJ18" s="30" t="str">
        <f t="shared" si="22"/>
        <v/>
      </c>
      <c r="BK18" s="30" t="str">
        <f t="shared" si="23"/>
        <v/>
      </c>
      <c r="BL18" s="30" t="str">
        <f t="shared" si="24"/>
        <v/>
      </c>
      <c r="BM18" s="30" t="str">
        <f t="shared" ca="1" si="25"/>
        <v/>
      </c>
      <c r="BN18" s="31" t="str">
        <f t="shared" ca="1" si="26"/>
        <v>16</v>
      </c>
      <c r="BO18" s="32">
        <f t="shared" si="27"/>
        <v>1080000</v>
      </c>
    </row>
    <row r="19">
      <c r="A19" s="19">
        <v>2021</v>
      </c>
      <c r="B19" s="20">
        <v>42396</v>
      </c>
      <c r="C19" s="21" t="s">
        <v>116</v>
      </c>
      <c r="D19" s="21" t="s">
        <v>117</v>
      </c>
      <c r="E19" s="22" t="s">
        <v>81</v>
      </c>
      <c r="F19" s="33" t="s">
        <v>106</v>
      </c>
      <c r="G19" s="19">
        <f>IF(ISNUMBER(MATCH(F19,#REF!,0)),1,0)</f>
        <v>0</v>
      </c>
      <c r="H19" s="23">
        <v>1</v>
      </c>
      <c r="I19" s="23"/>
      <c r="J19" s="22" t="s">
        <v>101</v>
      </c>
      <c r="K19" s="24">
        <v>5380585000</v>
      </c>
      <c r="L19" s="24">
        <v>5000585000</v>
      </c>
      <c r="M19" s="24">
        <v>380000000</v>
      </c>
      <c r="N19" s="24"/>
      <c r="O19" s="25">
        <v>50000000</v>
      </c>
      <c r="P19" s="26">
        <f t="shared" si="1"/>
        <v>0.20000000000000001</v>
      </c>
      <c r="Q19" s="27">
        <f t="shared" si="2"/>
        <v>76000000</v>
      </c>
      <c r="R19" s="28">
        <f t="shared" si="3"/>
        <v>26000000</v>
      </c>
      <c r="S19" s="28"/>
      <c r="T19" s="23"/>
      <c r="U19" s="23"/>
      <c r="V19" s="23"/>
      <c r="W19" s="23"/>
      <c r="X19" s="23">
        <v>1</v>
      </c>
      <c r="Y19" s="23"/>
      <c r="Z19" s="23"/>
      <c r="AA19" s="23"/>
      <c r="AB19" s="23"/>
      <c r="AC19" s="23"/>
      <c r="AD19" s="23"/>
      <c r="AE19" s="23">
        <v>1</v>
      </c>
      <c r="AF19" s="23"/>
      <c r="AG19" s="23"/>
      <c r="AH19" s="23"/>
      <c r="AI19" s="23"/>
      <c r="AJ19" s="23"/>
      <c r="AK19" s="23"/>
      <c r="AL19" s="23"/>
      <c r="AM19" s="23"/>
      <c r="AN19" s="29">
        <f t="shared" si="28"/>
        <v>0</v>
      </c>
      <c r="AO19" s="23"/>
      <c r="AP19" s="23"/>
      <c r="AQ19" s="23"/>
      <c r="AR19" s="23"/>
      <c r="AS19" s="30" t="str">
        <f t="shared" ca="1" si="5"/>
        <v/>
      </c>
      <c r="AT19" s="30" t="str">
        <f t="shared" ca="1" si="6"/>
        <v/>
      </c>
      <c r="AU19" s="30" t="str">
        <f t="shared" ca="1" si="7"/>
        <v/>
      </c>
      <c r="AV19" s="30" t="str">
        <f t="shared" ca="1" si="8"/>
        <v/>
      </c>
      <c r="AW19" s="30" t="str">
        <f t="shared" ca="1" si="9"/>
        <v/>
      </c>
      <c r="AX19" s="30" t="str">
        <f t="shared" si="10"/>
        <v/>
      </c>
      <c r="AY19" s="30" t="str">
        <f t="shared" ca="1" si="11"/>
        <v/>
      </c>
      <c r="AZ19" s="30" t="str">
        <f t="shared" ca="1" si="12"/>
        <v/>
      </c>
      <c r="BA19" s="30" t="str">
        <f t="shared" ca="1" si="13"/>
        <v/>
      </c>
      <c r="BB19" s="30" t="str">
        <f t="shared" ca="1" si="14"/>
        <v/>
      </c>
      <c r="BC19" s="30" t="str">
        <f t="shared" ca="1" si="15"/>
        <v/>
      </c>
      <c r="BD19" s="30" t="str">
        <f t="shared" ca="1" si="16"/>
        <v/>
      </c>
      <c r="BE19" s="30" t="str">
        <f t="shared" ca="1" si="17"/>
        <v/>
      </c>
      <c r="BF19" s="30" t="str">
        <f t="shared" ca="1" si="18"/>
        <v/>
      </c>
      <c r="BG19" s="30" t="str">
        <f t="shared" ca="1" si="19"/>
        <v/>
      </c>
      <c r="BH19" s="30" t="str">
        <f t="shared" ca="1" si="20"/>
        <v/>
      </c>
      <c r="BI19" s="30">
        <f t="shared" ca="1" si="21"/>
        <v>17</v>
      </c>
      <c r="BJ19" s="30" t="str">
        <f t="shared" si="22"/>
        <v/>
      </c>
      <c r="BK19" s="30" t="str">
        <f t="shared" si="23"/>
        <v/>
      </c>
      <c r="BL19" s="30" t="str">
        <f t="shared" si="24"/>
        <v/>
      </c>
      <c r="BM19" s="30" t="str">
        <f t="shared" ca="1" si="25"/>
        <v/>
      </c>
      <c r="BN19" s="31" t="str">
        <f t="shared" ca="1" si="26"/>
        <v>17</v>
      </c>
      <c r="BO19" s="32">
        <f t="shared" si="27"/>
        <v>26000000</v>
      </c>
    </row>
    <row r="20">
      <c r="A20" s="19">
        <v>2019</v>
      </c>
      <c r="B20" s="20">
        <v>44501</v>
      </c>
      <c r="C20" s="21" t="s">
        <v>118</v>
      </c>
      <c r="D20" s="21" t="s">
        <v>119</v>
      </c>
      <c r="E20" s="22" t="s">
        <v>81</v>
      </c>
      <c r="F20" s="33" t="s">
        <v>120</v>
      </c>
      <c r="G20" s="19">
        <f>IF(ISNUMBER(MATCH(F20,#REF!,0)),1,0)</f>
        <v>0</v>
      </c>
      <c r="H20" s="23">
        <f>IF(ISNUMBER(MATCH(F20,#REF!,0)),1,0)</f>
        <v>0</v>
      </c>
      <c r="I20" s="23"/>
      <c r="J20" s="22" t="s">
        <v>121</v>
      </c>
      <c r="K20" s="24">
        <v>51591311026</v>
      </c>
      <c r="L20" s="24">
        <v>4851167580</v>
      </c>
      <c r="M20" s="24">
        <v>307963522</v>
      </c>
      <c r="N20" s="24"/>
      <c r="O20" s="25">
        <v>52000000</v>
      </c>
      <c r="P20" s="26">
        <f t="shared" si="1"/>
        <v>0.23999999999999999</v>
      </c>
      <c r="Q20" s="27">
        <f t="shared" si="2"/>
        <v>73911245.280000001</v>
      </c>
      <c r="R20" s="28">
        <f t="shared" si="3"/>
        <v>21911245.280000001</v>
      </c>
      <c r="S20" s="28"/>
      <c r="T20" s="23"/>
      <c r="U20" s="23"/>
      <c r="V20" s="23"/>
      <c r="W20" s="23"/>
      <c r="X20" s="23"/>
      <c r="Y20" s="23"/>
      <c r="Z20" s="23">
        <v>1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9">
        <f t="shared" si="28"/>
        <v>0</v>
      </c>
      <c r="AO20" s="23"/>
      <c r="AP20" s="23"/>
      <c r="AQ20" s="23"/>
      <c r="AR20" s="23"/>
      <c r="AS20" s="30" t="str">
        <f t="shared" ca="1" si="5"/>
        <v/>
      </c>
      <c r="AT20" s="30" t="str">
        <f t="shared" ca="1" si="6"/>
        <v/>
      </c>
      <c r="AU20" s="30" t="str">
        <f t="shared" ca="1" si="7"/>
        <v/>
      </c>
      <c r="AV20" s="30" t="str">
        <f t="shared" ca="1" si="8"/>
        <v/>
      </c>
      <c r="AW20" s="30" t="str">
        <f t="shared" ca="1" si="9"/>
        <v/>
      </c>
      <c r="AX20" s="30" t="str">
        <f t="shared" si="10"/>
        <v/>
      </c>
      <c r="AY20" s="30" t="str">
        <f t="shared" ca="1" si="11"/>
        <v/>
      </c>
      <c r="AZ20" s="30" t="str">
        <f t="shared" ca="1" si="12"/>
        <v/>
      </c>
      <c r="BA20" s="30" t="str">
        <f t="shared" ca="1" si="13"/>
        <v/>
      </c>
      <c r="BB20" s="30" t="str">
        <f t="shared" ca="1" si="14"/>
        <v/>
      </c>
      <c r="BC20" s="30" t="str">
        <f t="shared" ca="1" si="15"/>
        <v/>
      </c>
      <c r="BD20" s="30" t="str">
        <f t="shared" ca="1" si="16"/>
        <v/>
      </c>
      <c r="BE20" s="30" t="str">
        <f t="shared" ca="1" si="17"/>
        <v/>
      </c>
      <c r="BF20" s="30" t="str">
        <f t="shared" ca="1" si="18"/>
        <v/>
      </c>
      <c r="BG20" s="30" t="str">
        <f t="shared" ca="1" si="19"/>
        <v/>
      </c>
      <c r="BH20" s="30" t="str">
        <f t="shared" ca="1" si="20"/>
        <v/>
      </c>
      <c r="BI20" s="30" t="str">
        <f t="shared" ca="1" si="21"/>
        <v/>
      </c>
      <c r="BJ20" s="30">
        <f t="shared" si="22"/>
        <v>18</v>
      </c>
      <c r="BK20" s="30" t="str">
        <f t="shared" si="23"/>
        <v/>
      </c>
      <c r="BL20" s="30" t="str">
        <f t="shared" si="24"/>
        <v/>
      </c>
      <c r="BM20" s="30" t="str">
        <f t="shared" ca="1" si="25"/>
        <v/>
      </c>
      <c r="BN20" s="31" t="str">
        <f t="shared" ref="BN20:BN22" ca="1" si="29">IF(COUNTA(AS20:BM20)&gt;0,_xlfn.TEXTJOIN(", ",TRUE,AS20:BM20),"")</f>
        <v>18</v>
      </c>
      <c r="BO20" s="32">
        <f t="shared" si="27"/>
        <v>21911245.280000001</v>
      </c>
    </row>
    <row r="21">
      <c r="A21" s="19">
        <v>2018</v>
      </c>
      <c r="B21" s="20">
        <v>44756</v>
      </c>
      <c r="C21" s="21" t="s">
        <v>122</v>
      </c>
      <c r="D21" s="21" t="s">
        <v>123</v>
      </c>
      <c r="E21" s="22" t="s">
        <v>81</v>
      </c>
      <c r="F21" s="22" t="s">
        <v>120</v>
      </c>
      <c r="G21" s="19">
        <f>IF(ISNUMBER(MATCH(F21,#REF!,0)),1,0)</f>
        <v>0</v>
      </c>
      <c r="H21" s="23">
        <f>IF(ISNUMBER(MATCH(F21,#REF!,0)),1,0)</f>
        <v>0</v>
      </c>
      <c r="I21" s="23"/>
      <c r="J21" s="22" t="s">
        <v>121</v>
      </c>
      <c r="K21" s="24">
        <v>114504323391</v>
      </c>
      <c r="L21" s="24">
        <v>144095180496</v>
      </c>
      <c r="M21" s="24">
        <v>-29590857105</v>
      </c>
      <c r="N21" s="24"/>
      <c r="O21" s="25">
        <v>0</v>
      </c>
      <c r="P21" s="26">
        <f t="shared" si="1"/>
        <v>0.23999999999999999</v>
      </c>
      <c r="Q21" s="27" t="str">
        <f t="shared" si="2"/>
        <v/>
      </c>
      <c r="R21" s="28" t="str">
        <f t="shared" si="3"/>
        <v/>
      </c>
      <c r="S21" s="28"/>
      <c r="T21" s="23"/>
      <c r="U21" s="23"/>
      <c r="V21" s="23"/>
      <c r="W21" s="23"/>
      <c r="X21" s="23"/>
      <c r="Y21" s="23"/>
      <c r="Z21" s="23"/>
      <c r="AA21" s="23">
        <v>1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9">
        <f t="shared" si="28"/>
        <v>0</v>
      </c>
      <c r="AO21" s="23"/>
      <c r="AP21" s="23"/>
      <c r="AQ21" s="23"/>
      <c r="AR21" s="23"/>
      <c r="AS21" s="30" t="str">
        <f t="shared" ca="1" si="5"/>
        <v/>
      </c>
      <c r="AT21" s="30" t="str">
        <f t="shared" ca="1" si="6"/>
        <v/>
      </c>
      <c r="AU21" s="30" t="str">
        <f t="shared" ca="1" si="7"/>
        <v/>
      </c>
      <c r="AV21" s="30" t="str">
        <f t="shared" ca="1" si="8"/>
        <v/>
      </c>
      <c r="AW21" s="30" t="str">
        <f t="shared" ca="1" si="9"/>
        <v/>
      </c>
      <c r="AX21" s="30" t="str">
        <f t="shared" si="10"/>
        <v/>
      </c>
      <c r="AY21" s="30" t="str">
        <f t="shared" ca="1" si="11"/>
        <v/>
      </c>
      <c r="AZ21" s="30" t="str">
        <f t="shared" ca="1" si="12"/>
        <v/>
      </c>
      <c r="BA21" s="30" t="str">
        <f t="shared" ca="1" si="13"/>
        <v/>
      </c>
      <c r="BB21" s="30" t="str">
        <f t="shared" ca="1" si="14"/>
        <v/>
      </c>
      <c r="BC21" s="30" t="str">
        <f t="shared" ca="1" si="15"/>
        <v/>
      </c>
      <c r="BD21" s="30" t="str">
        <f t="shared" ca="1" si="16"/>
        <v/>
      </c>
      <c r="BE21" s="30" t="str">
        <f t="shared" ca="1" si="17"/>
        <v/>
      </c>
      <c r="BF21" s="30" t="str">
        <f t="shared" ca="1" si="18"/>
        <v/>
      </c>
      <c r="BG21" s="30" t="str">
        <f t="shared" ca="1" si="19"/>
        <v/>
      </c>
      <c r="BH21" s="30" t="str">
        <f t="shared" ca="1" si="20"/>
        <v/>
      </c>
      <c r="BI21" s="30" t="str">
        <f t="shared" ca="1" si="21"/>
        <v/>
      </c>
      <c r="BJ21" s="30" t="str">
        <f t="shared" si="22"/>
        <v/>
      </c>
      <c r="BK21" s="30">
        <f t="shared" si="23"/>
        <v>19</v>
      </c>
      <c r="BL21" s="30" t="str">
        <f t="shared" si="24"/>
        <v/>
      </c>
      <c r="BM21" s="30" t="str">
        <f t="shared" ca="1" si="25"/>
        <v/>
      </c>
      <c r="BN21" s="31" t="str">
        <f t="shared" ca="1" si="29"/>
        <v>19</v>
      </c>
      <c r="BO21" s="32" t="str">
        <f t="shared" si="27"/>
        <v/>
      </c>
    </row>
    <row r="22">
      <c r="A22" s="38">
        <v>2018</v>
      </c>
      <c r="B22" s="39">
        <v>41339</v>
      </c>
      <c r="C22" s="21" t="s">
        <v>124</v>
      </c>
      <c r="D22" s="21" t="s">
        <v>125</v>
      </c>
      <c r="E22" s="40" t="s">
        <v>126</v>
      </c>
      <c r="F22" s="41" t="s">
        <v>127</v>
      </c>
      <c r="G22" s="38">
        <f>IF(ISNUMBER(MATCH(F22,#REF!,0)),1,0)</f>
        <v>0</v>
      </c>
      <c r="H22" s="42">
        <f>IF(ISNUMBER(MATCH(F22,#REF!,0)),1,0)</f>
        <v>0</v>
      </c>
      <c r="I22" s="42"/>
      <c r="J22" s="40" t="s">
        <v>128</v>
      </c>
      <c r="K22" s="43">
        <v>1098415500</v>
      </c>
      <c r="L22" s="43">
        <v>1042630615</v>
      </c>
      <c r="M22" s="43">
        <f>K22-L22</f>
        <v>55784885</v>
      </c>
      <c r="N22" s="43"/>
      <c r="O22" s="44">
        <v>13200000</v>
      </c>
      <c r="P22" s="45">
        <f t="shared" si="1"/>
        <v>0.23999999999999999</v>
      </c>
      <c r="Q22" s="27">
        <f t="shared" si="2"/>
        <v>13388372.4</v>
      </c>
      <c r="R22" s="46">
        <f t="shared" si="3"/>
        <v>188372.39999999999</v>
      </c>
      <c r="S22" s="46"/>
      <c r="T22" s="42"/>
      <c r="U22" s="42"/>
      <c r="V22" s="42"/>
      <c r="W22" s="42"/>
      <c r="X22" s="42"/>
      <c r="Y22" s="42"/>
      <c r="Z22" s="42"/>
      <c r="AA22" s="42"/>
      <c r="AB22" s="42">
        <v>1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7">
        <f t="shared" si="28"/>
        <v>0</v>
      </c>
      <c r="AO22" s="42"/>
      <c r="AP22" s="42"/>
      <c r="AQ22" s="42"/>
      <c r="AR22" s="42"/>
      <c r="AS22" s="48" t="str">
        <f t="shared" ca="1" si="5"/>
        <v/>
      </c>
      <c r="AT22" s="48" t="str">
        <f t="shared" ca="1" si="6"/>
        <v/>
      </c>
      <c r="AU22" s="48" t="str">
        <f t="shared" ca="1" si="7"/>
        <v/>
      </c>
      <c r="AV22" s="48" t="str">
        <f t="shared" ca="1" si="8"/>
        <v/>
      </c>
      <c r="AW22" s="48" t="str">
        <f t="shared" ca="1" si="9"/>
        <v/>
      </c>
      <c r="AX22" s="48" t="str">
        <f t="shared" si="10"/>
        <v/>
      </c>
      <c r="AY22" s="48" t="str">
        <f t="shared" ca="1" si="11"/>
        <v/>
      </c>
      <c r="AZ22" s="48" t="str">
        <f t="shared" ca="1" si="12"/>
        <v/>
      </c>
      <c r="BA22" s="48" t="str">
        <f t="shared" ca="1" si="13"/>
        <v/>
      </c>
      <c r="BB22" s="48" t="str">
        <f t="shared" ca="1" si="14"/>
        <v/>
      </c>
      <c r="BC22" s="48" t="str">
        <f t="shared" ca="1" si="15"/>
        <v/>
      </c>
      <c r="BD22" s="48" t="str">
        <f t="shared" ca="1" si="16"/>
        <v/>
      </c>
      <c r="BE22" s="48" t="str">
        <f t="shared" ca="1" si="17"/>
        <v/>
      </c>
      <c r="BF22" s="48" t="str">
        <f t="shared" ca="1" si="18"/>
        <v/>
      </c>
      <c r="BG22" s="48" t="str">
        <f t="shared" ca="1" si="19"/>
        <v/>
      </c>
      <c r="BH22" s="48" t="str">
        <f t="shared" ca="1" si="20"/>
        <v/>
      </c>
      <c r="BI22" s="48" t="str">
        <f t="shared" ca="1" si="21"/>
        <v/>
      </c>
      <c r="BJ22" s="48" t="str">
        <f t="shared" si="22"/>
        <v/>
      </c>
      <c r="BK22" s="48" t="str">
        <f t="shared" si="23"/>
        <v/>
      </c>
      <c r="BL22" s="48">
        <f t="shared" si="24"/>
        <v>20</v>
      </c>
      <c r="BM22" s="48" t="str">
        <f t="shared" ca="1" si="25"/>
        <v/>
      </c>
      <c r="BN22" s="49" t="str">
        <f t="shared" ca="1" si="29"/>
        <v>20</v>
      </c>
      <c r="BO22" s="50">
        <f t="shared" si="27"/>
        <v>188372.39999999999</v>
      </c>
    </row>
    <row r="23" s="4" customFormat="1">
      <c r="A23" s="2"/>
      <c r="B23" s="2"/>
      <c r="C23" s="2"/>
      <c r="D23" s="2"/>
      <c r="E23" s="2"/>
      <c r="F23" s="2"/>
      <c r="G23" s="2"/>
      <c r="H23" s="3"/>
      <c r="I23" s="3"/>
      <c r="J23" s="2"/>
      <c r="K23" s="51"/>
      <c r="O23" s="5"/>
      <c r="P23" s="5"/>
      <c r="R23" s="6"/>
      <c r="S23" s="6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8"/>
      <c r="BO23" s="9"/>
    </row>
    <row r="24" s="4" customFormat="1">
      <c r="A24" s="2"/>
      <c r="B24" s="2"/>
      <c r="C24" s="2"/>
      <c r="D24" s="2"/>
      <c r="E24" s="2"/>
      <c r="F24" s="2"/>
      <c r="G24" s="2"/>
      <c r="H24" s="3"/>
      <c r="I24" s="3"/>
      <c r="J24" s="2"/>
      <c r="K24" s="51"/>
      <c r="O24" s="5"/>
      <c r="P24" s="5"/>
      <c r="R24" s="6"/>
      <c r="S24" s="6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8"/>
      <c r="BO24" s="9"/>
    </row>
    <row r="25" s="4" customFormat="1">
      <c r="A25" s="2"/>
      <c r="B25" s="2"/>
      <c r="C25" s="2"/>
      <c r="D25" s="2"/>
      <c r="E25" s="2"/>
      <c r="F25" s="2"/>
      <c r="G25" s="2"/>
      <c r="H25" s="3"/>
      <c r="I25" s="3"/>
      <c r="J25" s="2"/>
      <c r="K25" s="51"/>
      <c r="O25" s="5"/>
      <c r="P25" s="5"/>
      <c r="R25" s="6"/>
      <c r="S25" s="6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8"/>
      <c r="BO25" s="9"/>
    </row>
    <row r="26" s="4" customFormat="1">
      <c r="A26" s="2"/>
      <c r="B26" s="2"/>
      <c r="C26" s="2"/>
      <c r="D26" s="2"/>
      <c r="E26" s="2"/>
      <c r="F26" s="2"/>
      <c r="G26" s="2"/>
      <c r="H26" s="3"/>
      <c r="I26" s="3"/>
      <c r="J26" s="2"/>
      <c r="K26" s="51"/>
      <c r="O26" s="5"/>
      <c r="P26" s="5"/>
      <c r="R26" s="6"/>
      <c r="S26" s="6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8"/>
      <c r="BO26" s="9"/>
    </row>
    <row r="27" s="4" customFormat="1">
      <c r="A27" s="2"/>
      <c r="B27" s="2"/>
      <c r="C27" s="2"/>
      <c r="D27" s="2"/>
      <c r="E27" s="2"/>
      <c r="F27" s="2"/>
      <c r="G27" s="2"/>
      <c r="H27" s="3"/>
      <c r="I27" s="3"/>
      <c r="J27" s="2"/>
      <c r="K27" s="51"/>
      <c r="O27" s="5"/>
      <c r="P27" s="5"/>
      <c r="R27" s="6"/>
      <c r="S27" s="6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8"/>
      <c r="BO27" s="9"/>
    </row>
    <row r="28" s="4" customFormat="1">
      <c r="A28" s="2"/>
      <c r="B28" s="2"/>
      <c r="C28" s="2"/>
      <c r="D28" s="2"/>
      <c r="E28" s="2"/>
      <c r="F28" s="2"/>
      <c r="G28" s="2"/>
      <c r="H28" s="3"/>
      <c r="I28" s="3"/>
      <c r="J28" s="2"/>
      <c r="K28" s="51"/>
      <c r="O28" s="5"/>
      <c r="P28" s="5"/>
      <c r="R28" s="6"/>
      <c r="S28" s="6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8"/>
      <c r="BO28" s="9"/>
    </row>
    <row r="29" s="4" customFormat="1">
      <c r="A29" s="2"/>
      <c r="B29" s="2"/>
      <c r="C29" s="2"/>
      <c r="D29" s="2"/>
      <c r="E29" s="2"/>
      <c r="F29" s="2"/>
      <c r="G29" s="2"/>
      <c r="H29" s="3"/>
      <c r="I29" s="3"/>
      <c r="J29" s="2"/>
      <c r="K29" s="51"/>
      <c r="O29" s="5"/>
      <c r="P29" s="5"/>
      <c r="R29" s="6"/>
      <c r="S29" s="6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8"/>
      <c r="BO29" s="9"/>
    </row>
    <row r="30" s="4" customFormat="1">
      <c r="A30" s="2"/>
      <c r="B30" s="2"/>
      <c r="C30" s="2"/>
      <c r="D30" s="2"/>
      <c r="E30" s="2"/>
      <c r="F30" s="2"/>
      <c r="G30" s="2"/>
      <c r="H30" s="3"/>
      <c r="I30" s="3"/>
      <c r="J30" s="2"/>
      <c r="K30" s="51"/>
      <c r="O30" s="5"/>
      <c r="P30" s="5"/>
      <c r="R30" s="6"/>
      <c r="S30" s="6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8"/>
      <c r="BO30" s="9"/>
    </row>
    <row r="31" s="4" customFormat="1">
      <c r="A31" s="2"/>
      <c r="B31" s="2"/>
      <c r="C31" s="2"/>
      <c r="D31" s="2"/>
      <c r="E31" s="2"/>
      <c r="F31" s="2"/>
      <c r="G31" s="2"/>
      <c r="H31" s="3"/>
      <c r="I31" s="3"/>
      <c r="J31" s="2"/>
      <c r="K31" s="51"/>
      <c r="O31" s="5"/>
      <c r="P31" s="5"/>
      <c r="R31" s="6"/>
      <c r="S31" s="6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8"/>
      <c r="BO31" s="9"/>
    </row>
    <row r="32" s="4" customFormat="1">
      <c r="A32" s="2"/>
      <c r="B32" s="2"/>
      <c r="C32" s="2"/>
      <c r="D32" s="2"/>
      <c r="E32" s="2"/>
      <c r="F32" s="2"/>
      <c r="G32" s="2"/>
      <c r="H32" s="3"/>
      <c r="I32" s="3"/>
      <c r="J32" s="2"/>
      <c r="K32" s="51"/>
      <c r="O32" s="5"/>
      <c r="P32" s="5"/>
      <c r="R32" s="6"/>
      <c r="S32" s="6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8"/>
      <c r="BO32" s="9"/>
    </row>
    <row r="33" s="4" customFormat="1">
      <c r="A33" s="2"/>
      <c r="B33" s="2"/>
      <c r="C33" s="2"/>
      <c r="D33" s="2"/>
      <c r="E33" s="2"/>
      <c r="F33" s="2"/>
      <c r="G33" s="2"/>
      <c r="H33" s="3"/>
      <c r="I33" s="3"/>
      <c r="J33" s="2"/>
      <c r="K33" s="51"/>
      <c r="O33" s="5"/>
      <c r="P33" s="5"/>
      <c r="R33" s="6"/>
      <c r="S33" s="6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8"/>
      <c r="BO33" s="9"/>
    </row>
    <row r="34" s="4" customFormat="1">
      <c r="A34" s="2"/>
      <c r="B34" s="2"/>
      <c r="C34" s="2"/>
      <c r="D34" s="2"/>
      <c r="E34" s="2"/>
      <c r="F34" s="2"/>
      <c r="G34" s="2"/>
      <c r="H34" s="3"/>
      <c r="I34" s="3"/>
      <c r="J34" s="2"/>
      <c r="K34" s="51"/>
      <c r="O34" s="5"/>
      <c r="P34" s="5"/>
      <c r="R34" s="6"/>
      <c r="S34" s="6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8"/>
      <c r="BO34" s="9"/>
    </row>
    <row r="35" s="4" customFormat="1">
      <c r="A35" s="2"/>
      <c r="B35" s="2"/>
      <c r="C35" s="2"/>
      <c r="D35" s="2"/>
      <c r="E35" s="2"/>
      <c r="F35" s="2"/>
      <c r="G35" s="2"/>
      <c r="H35" s="3"/>
      <c r="I35" s="3"/>
      <c r="J35" s="2"/>
      <c r="K35" s="51"/>
      <c r="O35" s="5"/>
      <c r="P35" s="5"/>
      <c r="R35" s="6"/>
      <c r="S35" s="6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8"/>
      <c r="BO35" s="9"/>
    </row>
    <row r="36" s="4" customFormat="1">
      <c r="A36" s="2"/>
      <c r="B36" s="2"/>
      <c r="C36" s="2"/>
      <c r="D36" s="2"/>
      <c r="E36" s="2"/>
      <c r="F36" s="2"/>
      <c r="G36" s="2"/>
      <c r="H36" s="3"/>
      <c r="I36" s="3"/>
      <c r="J36" s="2"/>
      <c r="K36" s="51"/>
      <c r="O36" s="5"/>
      <c r="P36" s="5"/>
      <c r="R36" s="6"/>
      <c r="S36" s="6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8"/>
      <c r="BO36" s="9"/>
    </row>
    <row r="37" s="4" customFormat="1">
      <c r="A37" s="2"/>
      <c r="B37" s="2"/>
      <c r="C37" s="2"/>
      <c r="D37" s="2"/>
      <c r="E37" s="2"/>
      <c r="F37" s="2"/>
      <c r="G37" s="2"/>
      <c r="H37" s="3"/>
      <c r="I37" s="3"/>
      <c r="J37" s="2"/>
      <c r="K37" s="51"/>
      <c r="O37" s="5"/>
      <c r="P37" s="5"/>
      <c r="R37" s="6"/>
      <c r="S37" s="6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8"/>
      <c r="BO37" s="9"/>
    </row>
    <row r="38" s="4" customFormat="1">
      <c r="A38" s="2"/>
      <c r="B38" s="2"/>
      <c r="C38" s="2"/>
      <c r="D38" s="2"/>
      <c r="E38" s="2"/>
      <c r="F38" s="2"/>
      <c r="G38" s="2"/>
      <c r="H38" s="3"/>
      <c r="I38" s="3"/>
      <c r="J38" s="2"/>
      <c r="K38" s="51"/>
      <c r="O38" s="5"/>
      <c r="P38" s="5"/>
      <c r="R38" s="6"/>
      <c r="S38" s="6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8"/>
      <c r="BO38" s="9"/>
    </row>
    <row r="39" s="4" customFormat="1">
      <c r="A39" s="2"/>
      <c r="B39" s="2"/>
      <c r="C39" s="2"/>
      <c r="D39" s="2"/>
      <c r="E39" s="2"/>
      <c r="F39" s="2"/>
      <c r="G39" s="2"/>
      <c r="H39" s="3"/>
      <c r="I39" s="3"/>
      <c r="J39" s="2"/>
      <c r="K39" s="51"/>
      <c r="O39" s="5"/>
      <c r="P39" s="5"/>
      <c r="R39" s="6"/>
      <c r="S39" s="6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8"/>
      <c r="BO39" s="9"/>
    </row>
    <row r="40" s="4" customFormat="1">
      <c r="A40" s="2"/>
      <c r="B40" s="2"/>
      <c r="C40" s="2"/>
      <c r="D40" s="2"/>
      <c r="E40" s="2"/>
      <c r="F40" s="2"/>
      <c r="G40" s="2"/>
      <c r="H40" s="3"/>
      <c r="I40" s="3"/>
      <c r="J40" s="2"/>
      <c r="K40" s="51"/>
      <c r="O40" s="5"/>
      <c r="P40" s="5"/>
      <c r="R40" s="6"/>
      <c r="S40" s="6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8"/>
      <c r="BO40" s="9"/>
    </row>
    <row r="41" s="4" customFormat="1">
      <c r="A41" s="2"/>
      <c r="B41" s="2"/>
      <c r="C41" s="2"/>
      <c r="D41" s="2"/>
      <c r="E41" s="2"/>
      <c r="F41" s="2"/>
      <c r="G41" s="2"/>
      <c r="H41" s="3"/>
      <c r="I41" s="3"/>
      <c r="J41" s="2"/>
      <c r="K41" s="51"/>
      <c r="O41" s="5"/>
      <c r="P41" s="5"/>
      <c r="R41" s="6"/>
      <c r="S41" s="6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8"/>
      <c r="BO41" s="9"/>
    </row>
    <row r="42" s="4" customFormat="1">
      <c r="A42" s="2"/>
      <c r="B42" s="2"/>
      <c r="C42" s="2"/>
      <c r="D42" s="2"/>
      <c r="E42" s="2"/>
      <c r="F42" s="2"/>
      <c r="G42" s="2"/>
      <c r="H42" s="3"/>
      <c r="I42" s="3"/>
      <c r="J42" s="2"/>
      <c r="K42" s="51"/>
      <c r="O42" s="5"/>
      <c r="P42" s="5"/>
      <c r="R42" s="6"/>
      <c r="S42" s="6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8"/>
      <c r="BO42" s="9"/>
    </row>
    <row r="43" s="4" customFormat="1">
      <c r="A43" s="2"/>
      <c r="B43" s="2"/>
      <c r="C43" s="2"/>
      <c r="D43" s="2"/>
      <c r="E43" s="2"/>
      <c r="F43" s="2"/>
      <c r="G43" s="2"/>
      <c r="H43" s="3"/>
      <c r="I43" s="3"/>
      <c r="J43" s="2"/>
      <c r="K43" s="51"/>
      <c r="O43" s="5"/>
      <c r="P43" s="5"/>
      <c r="R43" s="6"/>
      <c r="S43" s="6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8"/>
      <c r="BO43" s="9"/>
    </row>
    <row r="44" s="4" customFormat="1">
      <c r="A44" s="2"/>
      <c r="B44" s="2"/>
      <c r="C44" s="2"/>
      <c r="D44" s="2"/>
      <c r="E44" s="2"/>
      <c r="F44" s="2"/>
      <c r="G44" s="2"/>
      <c r="H44" s="3"/>
      <c r="I44" s="3"/>
      <c r="J44" s="2"/>
      <c r="K44" s="51"/>
      <c r="O44" s="5"/>
      <c r="P44" s="5"/>
      <c r="R44" s="6"/>
      <c r="S44" s="6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8"/>
      <c r="BO44" s="9"/>
    </row>
    <row r="45" s="4" customFormat="1">
      <c r="A45" s="2"/>
      <c r="B45" s="2"/>
      <c r="C45" s="2"/>
      <c r="D45" s="2"/>
      <c r="E45" s="2"/>
      <c r="F45" s="2"/>
      <c r="G45" s="2"/>
      <c r="H45" s="3"/>
      <c r="I45" s="3"/>
      <c r="J45" s="2"/>
      <c r="K45" s="51"/>
      <c r="O45" s="5"/>
      <c r="P45" s="5"/>
      <c r="R45" s="6"/>
      <c r="S45" s="6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8"/>
      <c r="BO45" s="9"/>
    </row>
    <row r="46" s="4" customFormat="1">
      <c r="A46" s="2"/>
      <c r="B46" s="2"/>
      <c r="C46" s="2"/>
      <c r="D46" s="2"/>
      <c r="E46" s="2"/>
      <c r="F46" s="2"/>
      <c r="G46" s="2"/>
      <c r="H46" s="3"/>
      <c r="I46" s="3"/>
      <c r="J46" s="2"/>
      <c r="K46" s="51"/>
      <c r="O46" s="5"/>
      <c r="P46" s="5"/>
      <c r="R46" s="6"/>
      <c r="S46" s="6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8"/>
      <c r="BO46" s="9"/>
    </row>
    <row r="47" s="4" customFormat="1">
      <c r="A47" s="2"/>
      <c r="B47" s="2"/>
      <c r="C47" s="2"/>
      <c r="D47" s="2"/>
      <c r="E47" s="2"/>
      <c r="F47" s="2"/>
      <c r="G47" s="2"/>
      <c r="H47" s="3"/>
      <c r="I47" s="3"/>
      <c r="J47" s="2"/>
      <c r="K47" s="51"/>
      <c r="O47" s="5"/>
      <c r="P47" s="5"/>
      <c r="R47" s="6"/>
      <c r="S47" s="6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8"/>
      <c r="BO47" s="9"/>
    </row>
    <row r="48" s="4" customFormat="1">
      <c r="A48" s="2"/>
      <c r="B48" s="2"/>
      <c r="C48" s="2"/>
      <c r="D48" s="2"/>
      <c r="E48" s="2"/>
      <c r="F48" s="2"/>
      <c r="G48" s="2"/>
      <c r="H48" s="3"/>
      <c r="I48" s="3"/>
      <c r="J48" s="2"/>
      <c r="K48" s="51"/>
      <c r="O48" s="5"/>
      <c r="P48" s="5"/>
      <c r="R48" s="6"/>
      <c r="S48" s="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8"/>
      <c r="BO48" s="9"/>
    </row>
    <row r="49" s="4" customFormat="1">
      <c r="A49" s="2"/>
      <c r="B49" s="2"/>
      <c r="C49" s="2"/>
      <c r="D49" s="2"/>
      <c r="E49" s="2"/>
      <c r="F49" s="2"/>
      <c r="G49" s="2"/>
      <c r="H49" s="3"/>
      <c r="I49" s="3"/>
      <c r="J49" s="2"/>
      <c r="K49" s="51"/>
      <c r="O49" s="5"/>
      <c r="P49" s="5"/>
      <c r="R49" s="6"/>
      <c r="S49" s="6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8"/>
      <c r="BO49" s="9"/>
    </row>
    <row r="50" s="4" customFormat="1">
      <c r="A50" s="2"/>
      <c r="B50" s="2"/>
      <c r="C50" s="2"/>
      <c r="D50" s="2"/>
      <c r="E50" s="2"/>
      <c r="F50" s="2"/>
      <c r="G50" s="2"/>
      <c r="H50" s="3"/>
      <c r="I50" s="3"/>
      <c r="J50" s="2"/>
      <c r="K50" s="51"/>
      <c r="O50" s="5"/>
      <c r="P50" s="5"/>
      <c r="R50" s="6"/>
      <c r="S50" s="6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8"/>
      <c r="BO50" s="9"/>
    </row>
    <row r="51" s="4" customFormat="1">
      <c r="A51" s="2"/>
      <c r="B51" s="2"/>
      <c r="C51" s="2"/>
      <c r="D51" s="2"/>
      <c r="E51" s="2"/>
      <c r="F51" s="2"/>
      <c r="G51" s="2"/>
      <c r="H51" s="3"/>
      <c r="I51" s="3"/>
      <c r="J51" s="2"/>
      <c r="K51" s="51"/>
      <c r="O51" s="5"/>
      <c r="P51" s="5"/>
      <c r="R51" s="6"/>
      <c r="S51" s="6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8"/>
      <c r="BO51" s="9"/>
    </row>
    <row r="52" s="4" customFormat="1">
      <c r="A52" s="2"/>
      <c r="B52" s="2"/>
      <c r="C52" s="2"/>
      <c r="D52" s="2"/>
      <c r="E52" s="2"/>
      <c r="F52" s="2"/>
      <c r="G52" s="2"/>
      <c r="H52" s="3"/>
      <c r="I52" s="3"/>
      <c r="J52" s="2"/>
      <c r="K52" s="51"/>
      <c r="O52" s="5"/>
      <c r="P52" s="5"/>
      <c r="R52" s="6"/>
      <c r="S52" s="6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8"/>
      <c r="BO52" s="9"/>
    </row>
    <row r="53" s="4" customFormat="1">
      <c r="A53" s="2"/>
      <c r="B53" s="2"/>
      <c r="C53" s="2"/>
      <c r="D53" s="2"/>
      <c r="E53" s="2"/>
      <c r="F53" s="2"/>
      <c r="G53" s="2"/>
      <c r="H53" s="3"/>
      <c r="I53" s="3"/>
      <c r="J53" s="2"/>
      <c r="K53" s="51"/>
      <c r="O53" s="5"/>
      <c r="P53" s="5"/>
      <c r="R53" s="6"/>
      <c r="S53" s="6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8"/>
      <c r="BO53" s="9"/>
    </row>
    <row r="54" s="4" customFormat="1">
      <c r="A54" s="2"/>
      <c r="B54" s="2"/>
      <c r="C54" s="2"/>
      <c r="D54" s="2"/>
      <c r="E54" s="2"/>
      <c r="F54" s="2"/>
      <c r="G54" s="2"/>
      <c r="H54" s="3"/>
      <c r="I54" s="3"/>
      <c r="J54" s="2"/>
      <c r="K54" s="51"/>
      <c r="O54" s="5"/>
      <c r="P54" s="5"/>
      <c r="R54" s="6"/>
      <c r="S54" s="6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8"/>
      <c r="BO54" s="9"/>
    </row>
    <row r="55" s="4" customFormat="1">
      <c r="A55" s="2"/>
      <c r="B55" s="2"/>
      <c r="C55" s="2"/>
      <c r="D55" s="2"/>
      <c r="E55" s="2"/>
      <c r="F55" s="2"/>
      <c r="G55" s="2"/>
      <c r="H55" s="3"/>
      <c r="I55" s="3"/>
      <c r="J55" s="2"/>
      <c r="K55" s="51"/>
      <c r="O55" s="5"/>
      <c r="P55" s="5"/>
      <c r="R55" s="6"/>
      <c r="S55" s="6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8"/>
      <c r="BO55" s="9"/>
    </row>
    <row r="56" s="4" customFormat="1">
      <c r="A56" s="2"/>
      <c r="B56" s="2"/>
      <c r="C56" s="2"/>
      <c r="D56" s="2"/>
      <c r="E56" s="2"/>
      <c r="F56" s="2"/>
      <c r="G56" s="2"/>
      <c r="H56" s="3"/>
      <c r="I56" s="3"/>
      <c r="J56" s="2"/>
      <c r="K56" s="51"/>
      <c r="O56" s="5"/>
      <c r="P56" s="5"/>
      <c r="R56" s="6"/>
      <c r="S56" s="6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8"/>
      <c r="BO56" s="9"/>
    </row>
    <row r="57" s="4" customFormat="1">
      <c r="A57" s="2"/>
      <c r="B57" s="2"/>
      <c r="C57" s="2"/>
      <c r="D57" s="2"/>
      <c r="E57" s="2"/>
      <c r="F57" s="2"/>
      <c r="G57" s="2"/>
      <c r="H57" s="3"/>
      <c r="I57" s="3"/>
      <c r="J57" s="2"/>
      <c r="K57" s="51"/>
      <c r="O57" s="5"/>
      <c r="P57" s="5"/>
      <c r="R57" s="6"/>
      <c r="S57" s="6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8"/>
      <c r="BO57" s="9"/>
    </row>
    <row r="58" s="4" customFormat="1">
      <c r="A58" s="2"/>
      <c r="B58" s="2"/>
      <c r="C58" s="2"/>
      <c r="D58" s="2"/>
      <c r="E58" s="2"/>
      <c r="F58" s="2"/>
      <c r="G58" s="2"/>
      <c r="H58" s="3"/>
      <c r="I58" s="3"/>
      <c r="J58" s="2"/>
      <c r="K58" s="51"/>
      <c r="O58" s="5"/>
      <c r="P58" s="5"/>
      <c r="R58" s="6"/>
      <c r="S58" s="6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8"/>
      <c r="BO58" s="9"/>
    </row>
    <row r="59" s="4" customFormat="1">
      <c r="A59" s="2"/>
      <c r="B59" s="2"/>
      <c r="C59" s="2"/>
      <c r="D59" s="2"/>
      <c r="E59" s="2"/>
      <c r="F59" s="2"/>
      <c r="G59" s="2"/>
      <c r="H59" s="3"/>
      <c r="I59" s="3"/>
      <c r="J59" s="2"/>
      <c r="K59" s="51"/>
      <c r="O59" s="5"/>
      <c r="P59" s="5"/>
      <c r="R59" s="6"/>
      <c r="S59" s="6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8"/>
      <c r="BO59" s="9"/>
    </row>
    <row r="60" s="4" customFormat="1">
      <c r="A60" s="2"/>
      <c r="B60" s="2"/>
      <c r="C60" s="2"/>
      <c r="D60" s="2"/>
      <c r="E60" s="2"/>
      <c r="F60" s="2"/>
      <c r="G60" s="2"/>
      <c r="H60" s="3"/>
      <c r="I60" s="3"/>
      <c r="J60" s="2"/>
      <c r="K60" s="51"/>
      <c r="O60" s="5"/>
      <c r="P60" s="5"/>
      <c r="R60" s="6"/>
      <c r="S60" s="6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8"/>
      <c r="BO60" s="9"/>
    </row>
    <row r="61" s="4" customFormat="1">
      <c r="A61" s="2"/>
      <c r="B61" s="2"/>
      <c r="C61" s="2"/>
      <c r="D61" s="2"/>
      <c r="E61" s="2"/>
      <c r="F61" s="2"/>
      <c r="G61" s="2"/>
      <c r="H61" s="3"/>
      <c r="I61" s="3"/>
      <c r="J61" s="2"/>
      <c r="K61" s="51"/>
      <c r="O61" s="5"/>
      <c r="P61" s="5"/>
      <c r="R61" s="6"/>
      <c r="S61" s="6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8"/>
      <c r="BO61" s="9"/>
    </row>
    <row r="62" s="4" customFormat="1">
      <c r="A62" s="2"/>
      <c r="B62" s="2"/>
      <c r="C62" s="2"/>
      <c r="D62" s="2"/>
      <c r="E62" s="2"/>
      <c r="F62" s="2"/>
      <c r="G62" s="2"/>
      <c r="H62" s="3"/>
      <c r="I62" s="3"/>
      <c r="J62" s="2"/>
      <c r="K62" s="51"/>
      <c r="O62" s="5"/>
      <c r="P62" s="5"/>
      <c r="R62" s="6"/>
      <c r="S62" s="6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8"/>
      <c r="BO62" s="9"/>
    </row>
    <row r="63" s="4" customFormat="1">
      <c r="A63" s="2"/>
      <c r="B63" s="2"/>
      <c r="C63" s="2"/>
      <c r="D63" s="2"/>
      <c r="E63" s="2"/>
      <c r="F63" s="2"/>
      <c r="G63" s="2"/>
      <c r="H63" s="3"/>
      <c r="I63" s="3"/>
      <c r="J63" s="2"/>
      <c r="K63" s="51"/>
      <c r="O63" s="5"/>
      <c r="P63" s="5"/>
      <c r="R63" s="6"/>
      <c r="S63" s="6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8"/>
      <c r="BO63" s="9"/>
    </row>
    <row r="64" s="4" customFormat="1">
      <c r="A64" s="2"/>
      <c r="B64" s="2"/>
      <c r="C64" s="2"/>
      <c r="D64" s="2"/>
      <c r="E64" s="2"/>
      <c r="F64" s="2"/>
      <c r="G64" s="2"/>
      <c r="H64" s="3"/>
      <c r="I64" s="3"/>
      <c r="J64" s="2"/>
      <c r="K64" s="51"/>
      <c r="O64" s="5"/>
      <c r="P64" s="5"/>
      <c r="R64" s="6"/>
      <c r="S64" s="6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8"/>
      <c r="BO64" s="9"/>
    </row>
    <row r="65" s="4" customFormat="1">
      <c r="A65" s="2"/>
      <c r="B65" s="2"/>
      <c r="C65" s="2"/>
      <c r="D65" s="2"/>
      <c r="E65" s="2"/>
      <c r="F65" s="2"/>
      <c r="G65" s="2"/>
      <c r="H65" s="3"/>
      <c r="I65" s="3"/>
      <c r="J65" s="2"/>
      <c r="K65" s="51"/>
      <c r="O65" s="5"/>
      <c r="P65" s="5"/>
      <c r="R65" s="6"/>
      <c r="S65" s="6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8"/>
      <c r="BO65" s="9"/>
    </row>
    <row r="66" s="4" customFormat="1">
      <c r="A66" s="2"/>
      <c r="B66" s="2"/>
      <c r="C66" s="2"/>
      <c r="D66" s="2"/>
      <c r="E66" s="2"/>
      <c r="F66" s="2"/>
      <c r="G66" s="2"/>
      <c r="H66" s="3"/>
      <c r="I66" s="3"/>
      <c r="J66" s="2"/>
      <c r="K66" s="51"/>
      <c r="O66" s="5"/>
      <c r="P66" s="5"/>
      <c r="R66" s="6"/>
      <c r="S66" s="6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8"/>
      <c r="BO66" s="9"/>
    </row>
    <row r="67" s="4" customFormat="1">
      <c r="A67" s="2"/>
      <c r="B67" s="2"/>
      <c r="C67" s="2"/>
      <c r="D67" s="2"/>
      <c r="E67" s="2"/>
      <c r="F67" s="2"/>
      <c r="G67" s="2"/>
      <c r="H67" s="3"/>
      <c r="I67" s="3"/>
      <c r="J67" s="2"/>
      <c r="K67" s="51"/>
      <c r="O67" s="5"/>
      <c r="P67" s="5"/>
      <c r="R67" s="6"/>
      <c r="S67" s="6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8"/>
      <c r="BO67" s="9"/>
    </row>
    <row r="68" s="4" customFormat="1">
      <c r="A68" s="2"/>
      <c r="B68" s="2"/>
      <c r="C68" s="2"/>
      <c r="D68" s="2"/>
      <c r="E68" s="2"/>
      <c r="F68" s="2"/>
      <c r="G68" s="2"/>
      <c r="H68" s="3"/>
      <c r="I68" s="3"/>
      <c r="J68" s="2"/>
      <c r="K68" s="51"/>
      <c r="O68" s="5"/>
      <c r="P68" s="5"/>
      <c r="R68" s="6"/>
      <c r="S68" s="6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8"/>
      <c r="BO68" s="9"/>
    </row>
    <row r="69" s="4" customFormat="1">
      <c r="A69" s="2"/>
      <c r="B69" s="2"/>
      <c r="C69" s="2"/>
      <c r="D69" s="2"/>
      <c r="E69" s="2"/>
      <c r="F69" s="2"/>
      <c r="G69" s="2"/>
      <c r="H69" s="3"/>
      <c r="I69" s="3"/>
      <c r="J69" s="2"/>
      <c r="K69" s="51"/>
      <c r="O69" s="5"/>
      <c r="P69" s="5"/>
      <c r="R69" s="6"/>
      <c r="S69" s="6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8"/>
      <c r="BO69" s="9"/>
    </row>
    <row r="70" s="4" customFormat="1">
      <c r="A70" s="2"/>
      <c r="B70" s="2"/>
      <c r="C70" s="2"/>
      <c r="D70" s="2"/>
      <c r="E70" s="2"/>
      <c r="F70" s="2"/>
      <c r="G70" s="2"/>
      <c r="H70" s="3"/>
      <c r="I70" s="3"/>
      <c r="J70" s="2"/>
      <c r="K70" s="51"/>
      <c r="O70" s="5"/>
      <c r="P70" s="5"/>
      <c r="R70" s="6"/>
      <c r="S70" s="6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8"/>
      <c r="BO70" s="9"/>
    </row>
    <row r="71" s="4" customFormat="1">
      <c r="A71" s="2"/>
      <c r="B71" s="2"/>
      <c r="C71" s="2"/>
      <c r="D71" s="2"/>
      <c r="E71" s="2"/>
      <c r="F71" s="2"/>
      <c r="G71" s="2"/>
      <c r="H71" s="3"/>
      <c r="I71" s="3"/>
      <c r="J71" s="2"/>
      <c r="K71" s="51"/>
      <c r="O71" s="5"/>
      <c r="P71" s="5"/>
      <c r="R71" s="6"/>
      <c r="S71" s="6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8"/>
      <c r="BO71" s="9"/>
    </row>
    <row r="72" s="4" customFormat="1">
      <c r="A72" s="2"/>
      <c r="B72" s="2"/>
      <c r="C72" s="2"/>
      <c r="D72" s="2"/>
      <c r="E72" s="2"/>
      <c r="F72" s="2"/>
      <c r="G72" s="2"/>
      <c r="H72" s="3"/>
      <c r="I72" s="3"/>
      <c r="J72" s="2"/>
      <c r="K72" s="51"/>
      <c r="O72" s="5"/>
      <c r="P72" s="5"/>
      <c r="R72" s="6"/>
      <c r="S72" s="6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8"/>
      <c r="BO72" s="9"/>
    </row>
    <row r="73" s="4" customFormat="1">
      <c r="A73" s="2"/>
      <c r="B73" s="2"/>
      <c r="C73" s="2"/>
      <c r="D73" s="2"/>
      <c r="E73" s="2"/>
      <c r="F73" s="2"/>
      <c r="G73" s="2"/>
      <c r="H73" s="3"/>
      <c r="I73" s="3"/>
      <c r="J73" s="2"/>
      <c r="K73" s="51"/>
      <c r="O73" s="5"/>
      <c r="P73" s="5"/>
      <c r="R73" s="6"/>
      <c r="S73" s="6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8"/>
      <c r="BO73" s="9"/>
    </row>
    <row r="74" s="4" customFormat="1">
      <c r="A74" s="2"/>
      <c r="B74" s="2"/>
      <c r="C74" s="2"/>
      <c r="D74" s="2"/>
      <c r="E74" s="2"/>
      <c r="F74" s="2"/>
      <c r="G74" s="2"/>
      <c r="H74" s="3"/>
      <c r="I74" s="3"/>
      <c r="J74" s="2"/>
      <c r="K74" s="51"/>
      <c r="O74" s="5"/>
      <c r="P74" s="5"/>
      <c r="R74" s="6"/>
      <c r="S74" s="6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8"/>
      <c r="BO74" s="9"/>
    </row>
    <row r="75" s="4" customFormat="1">
      <c r="A75" s="2"/>
      <c r="B75" s="2"/>
      <c r="C75" s="2"/>
      <c r="D75" s="2"/>
      <c r="E75" s="2"/>
      <c r="F75" s="2"/>
      <c r="G75" s="2"/>
      <c r="H75" s="3"/>
      <c r="I75" s="3"/>
      <c r="J75" s="2"/>
      <c r="K75" s="51"/>
      <c r="O75" s="5"/>
      <c r="P75" s="5"/>
      <c r="R75" s="6"/>
      <c r="S75" s="6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8"/>
      <c r="BO75" s="9"/>
    </row>
    <row r="76" s="4" customFormat="1">
      <c r="A76" s="2"/>
      <c r="B76" s="2"/>
      <c r="C76" s="2"/>
      <c r="D76" s="2"/>
      <c r="E76" s="2"/>
      <c r="F76" s="2"/>
      <c r="G76" s="2"/>
      <c r="H76" s="3"/>
      <c r="I76" s="3"/>
      <c r="J76" s="2"/>
      <c r="K76" s="51"/>
      <c r="O76" s="5"/>
      <c r="P76" s="5"/>
      <c r="R76" s="6"/>
      <c r="S76" s="6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8"/>
      <c r="BO76" s="9"/>
    </row>
    <row r="77" s="4" customFormat="1">
      <c r="A77" s="2"/>
      <c r="B77" s="2"/>
      <c r="C77" s="2"/>
      <c r="D77" s="2"/>
      <c r="E77" s="2"/>
      <c r="F77" s="2"/>
      <c r="G77" s="2"/>
      <c r="H77" s="3"/>
      <c r="I77" s="3"/>
      <c r="J77" s="2"/>
      <c r="K77" s="51"/>
      <c r="O77" s="5"/>
      <c r="P77" s="5"/>
      <c r="R77" s="6"/>
      <c r="S77" s="6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8"/>
      <c r="BO77" s="9"/>
    </row>
    <row r="78" s="4" customFormat="1">
      <c r="A78" s="2"/>
      <c r="B78" s="2"/>
      <c r="C78" s="2"/>
      <c r="D78" s="2"/>
      <c r="E78" s="2"/>
      <c r="F78" s="2"/>
      <c r="G78" s="2"/>
      <c r="H78" s="3"/>
      <c r="I78" s="3"/>
      <c r="J78" s="2"/>
      <c r="K78" s="51"/>
      <c r="O78" s="5"/>
      <c r="P78" s="5"/>
      <c r="R78" s="6"/>
      <c r="S78" s="6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8"/>
      <c r="BO78" s="9"/>
    </row>
    <row r="79" s="4" customFormat="1">
      <c r="A79" s="2"/>
      <c r="B79" s="2"/>
      <c r="C79" s="2"/>
      <c r="D79" s="2"/>
      <c r="E79" s="2"/>
      <c r="F79" s="2"/>
      <c r="G79" s="2"/>
      <c r="H79" s="3"/>
      <c r="I79" s="3"/>
      <c r="J79" s="2"/>
      <c r="K79" s="51"/>
      <c r="O79" s="5"/>
      <c r="P79" s="5"/>
      <c r="R79" s="6"/>
      <c r="S79" s="6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8"/>
      <c r="BO79" s="9"/>
    </row>
    <row r="80" s="4" customFormat="1">
      <c r="A80" s="2"/>
      <c r="B80" s="2"/>
      <c r="C80" s="2"/>
      <c r="D80" s="2"/>
      <c r="E80" s="2"/>
      <c r="F80" s="2"/>
      <c r="G80" s="2"/>
      <c r="H80" s="3"/>
      <c r="I80" s="3"/>
      <c r="J80" s="2"/>
      <c r="K80" s="51"/>
      <c r="O80" s="5"/>
      <c r="P80" s="5"/>
      <c r="R80" s="6"/>
      <c r="S80" s="6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8"/>
      <c r="BO80" s="9"/>
    </row>
    <row r="81" s="4" customFormat="1">
      <c r="A81" s="2"/>
      <c r="B81" s="2"/>
      <c r="C81" s="2"/>
      <c r="D81" s="2"/>
      <c r="E81" s="2"/>
      <c r="F81" s="2"/>
      <c r="G81" s="2"/>
      <c r="H81" s="3"/>
      <c r="I81" s="3"/>
      <c r="J81" s="2"/>
      <c r="K81" s="51"/>
      <c r="O81" s="5"/>
      <c r="P81" s="5"/>
      <c r="R81" s="6"/>
      <c r="S81" s="6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8"/>
      <c r="BO81" s="9"/>
    </row>
    <row r="82" s="4" customFormat="1">
      <c r="A82" s="2"/>
      <c r="B82" s="2"/>
      <c r="C82" s="2"/>
      <c r="D82" s="2"/>
      <c r="E82" s="2"/>
      <c r="F82" s="2"/>
      <c r="G82" s="2"/>
      <c r="H82" s="3"/>
      <c r="I82" s="3"/>
      <c r="J82" s="2"/>
      <c r="K82" s="51"/>
      <c r="O82" s="5"/>
      <c r="P82" s="5"/>
      <c r="R82" s="6"/>
      <c r="S82" s="6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8"/>
      <c r="BO82" s="9"/>
    </row>
    <row r="83" s="4" customFormat="1">
      <c r="A83" s="2"/>
      <c r="B83" s="2"/>
      <c r="C83" s="2"/>
      <c r="D83" s="2"/>
      <c r="E83" s="2"/>
      <c r="F83" s="2"/>
      <c r="G83" s="2"/>
      <c r="H83" s="3"/>
      <c r="I83" s="3"/>
      <c r="J83" s="2"/>
      <c r="K83" s="51"/>
      <c r="O83" s="5"/>
      <c r="P83" s="5"/>
      <c r="R83" s="6"/>
      <c r="S83" s="6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8"/>
      <c r="BO83" s="9"/>
    </row>
    <row r="84" s="4" customFormat="1">
      <c r="A84" s="2"/>
      <c r="B84" s="2"/>
      <c r="C84" s="2"/>
      <c r="D84" s="2"/>
      <c r="E84" s="2"/>
      <c r="F84" s="2"/>
      <c r="G84" s="2"/>
      <c r="H84" s="3"/>
      <c r="I84" s="3"/>
      <c r="J84" s="2"/>
      <c r="K84" s="51"/>
      <c r="O84" s="5"/>
      <c r="P84" s="5"/>
      <c r="R84" s="6"/>
      <c r="S84" s="6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8"/>
      <c r="BO84" s="9"/>
    </row>
    <row r="85" s="4" customFormat="1">
      <c r="A85" s="2"/>
      <c r="B85" s="2"/>
      <c r="C85" s="2"/>
      <c r="D85" s="2"/>
      <c r="E85" s="2"/>
      <c r="F85" s="2"/>
      <c r="G85" s="2"/>
      <c r="H85" s="3"/>
      <c r="I85" s="3"/>
      <c r="J85" s="2"/>
      <c r="K85" s="51"/>
      <c r="O85" s="5"/>
      <c r="P85" s="5"/>
      <c r="R85" s="6"/>
      <c r="S85" s="6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8"/>
      <c r="BO85" s="9"/>
    </row>
    <row r="86" s="4" customFormat="1">
      <c r="A86" s="2"/>
      <c r="B86" s="2"/>
      <c r="C86" s="2"/>
      <c r="D86" s="2"/>
      <c r="E86" s="2"/>
      <c r="F86" s="2"/>
      <c r="G86" s="2"/>
      <c r="H86" s="3"/>
      <c r="I86" s="3"/>
      <c r="J86" s="2"/>
      <c r="K86" s="51"/>
      <c r="O86" s="5"/>
      <c r="P86" s="5"/>
      <c r="R86" s="6"/>
      <c r="S86" s="6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8"/>
      <c r="BO86" s="9"/>
    </row>
    <row r="87" s="4" customFormat="1">
      <c r="A87" s="2"/>
      <c r="B87" s="2"/>
      <c r="C87" s="2"/>
      <c r="D87" s="2"/>
      <c r="E87" s="2"/>
      <c r="F87" s="2"/>
      <c r="G87" s="2"/>
      <c r="H87" s="3"/>
      <c r="I87" s="3"/>
      <c r="J87" s="2"/>
      <c r="K87" s="51"/>
      <c r="O87" s="5"/>
      <c r="P87" s="5"/>
      <c r="R87" s="6"/>
      <c r="S87" s="6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8"/>
      <c r="BO87" s="9"/>
    </row>
    <row r="88" s="4" customFormat="1">
      <c r="A88" s="2"/>
      <c r="B88" s="2"/>
      <c r="C88" s="2"/>
      <c r="D88" s="2"/>
      <c r="E88" s="2"/>
      <c r="F88" s="2"/>
      <c r="G88" s="2"/>
      <c r="H88" s="3"/>
      <c r="I88" s="3"/>
      <c r="J88" s="2"/>
      <c r="K88" s="51"/>
      <c r="O88" s="5"/>
      <c r="P88" s="5"/>
      <c r="R88" s="6"/>
      <c r="S88" s="6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8"/>
      <c r="BO88" s="9"/>
    </row>
    <row r="89" s="4" customFormat="1">
      <c r="A89" s="2"/>
      <c r="B89" s="2"/>
      <c r="C89" s="2"/>
      <c r="D89" s="2"/>
      <c r="E89" s="2"/>
      <c r="F89" s="2"/>
      <c r="G89" s="2"/>
      <c r="H89" s="3"/>
      <c r="I89" s="3"/>
      <c r="J89" s="2"/>
      <c r="K89" s="51"/>
      <c r="O89" s="5"/>
      <c r="P89" s="5"/>
      <c r="R89" s="6"/>
      <c r="S89" s="6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8"/>
      <c r="BO89" s="9"/>
    </row>
    <row r="90" s="4" customFormat="1">
      <c r="A90" s="2"/>
      <c r="B90" s="2"/>
      <c r="C90" s="2"/>
      <c r="D90" s="2"/>
      <c r="E90" s="2"/>
      <c r="F90" s="2"/>
      <c r="G90" s="2"/>
      <c r="H90" s="3"/>
      <c r="I90" s="3"/>
      <c r="J90" s="2"/>
      <c r="K90" s="51"/>
      <c r="O90" s="5"/>
      <c r="P90" s="5"/>
      <c r="R90" s="6"/>
      <c r="S90" s="6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8"/>
      <c r="BO90" s="9"/>
    </row>
    <row r="91" s="4" customFormat="1">
      <c r="A91" s="2"/>
      <c r="B91" s="2"/>
      <c r="C91" s="2"/>
      <c r="D91" s="2"/>
      <c r="E91" s="2"/>
      <c r="F91" s="2"/>
      <c r="G91" s="2"/>
      <c r="H91" s="3"/>
      <c r="I91" s="3"/>
      <c r="J91" s="2"/>
      <c r="K91" s="51"/>
      <c r="O91" s="5"/>
      <c r="P91" s="5"/>
      <c r="R91" s="6"/>
      <c r="S91" s="6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8"/>
      <c r="BO91" s="9"/>
    </row>
    <row r="92" s="4" customFormat="1">
      <c r="A92" s="2"/>
      <c r="B92" s="2"/>
      <c r="C92" s="2"/>
      <c r="D92" s="2"/>
      <c r="E92" s="2"/>
      <c r="F92" s="2"/>
      <c r="G92" s="2"/>
      <c r="H92" s="3"/>
      <c r="I92" s="3"/>
      <c r="J92" s="2"/>
      <c r="K92" s="51"/>
      <c r="O92" s="5"/>
      <c r="P92" s="5"/>
      <c r="R92" s="6"/>
      <c r="S92" s="6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8"/>
      <c r="BO92" s="9"/>
    </row>
    <row r="93" s="4" customFormat="1">
      <c r="A93" s="2"/>
      <c r="B93" s="2"/>
      <c r="C93" s="2"/>
      <c r="D93" s="2"/>
      <c r="E93" s="2"/>
      <c r="F93" s="2"/>
      <c r="G93" s="2"/>
      <c r="H93" s="3"/>
      <c r="I93" s="3"/>
      <c r="J93" s="2"/>
      <c r="K93" s="51"/>
      <c r="O93" s="5"/>
      <c r="P93" s="5"/>
      <c r="R93" s="6"/>
      <c r="S93" s="6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8"/>
      <c r="BO93" s="9"/>
    </row>
    <row r="94" s="4" customFormat="1">
      <c r="A94" s="2"/>
      <c r="B94" s="2"/>
      <c r="C94" s="2"/>
      <c r="D94" s="2"/>
      <c r="E94" s="2"/>
      <c r="F94" s="2"/>
      <c r="G94" s="2"/>
      <c r="H94" s="3"/>
      <c r="I94" s="3"/>
      <c r="J94" s="2"/>
      <c r="K94" s="51"/>
      <c r="O94" s="5"/>
      <c r="P94" s="5"/>
      <c r="R94" s="6"/>
      <c r="S94" s="6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8"/>
      <c r="BO94" s="9"/>
    </row>
    <row r="95" s="4" customFormat="1">
      <c r="A95" s="2"/>
      <c r="B95" s="2"/>
      <c r="C95" s="2"/>
      <c r="D95" s="2"/>
      <c r="E95" s="2"/>
      <c r="F95" s="2"/>
      <c r="G95" s="2"/>
      <c r="H95" s="3"/>
      <c r="I95" s="3"/>
      <c r="J95" s="2"/>
      <c r="K95" s="51"/>
      <c r="O95" s="5"/>
      <c r="P95" s="5"/>
      <c r="R95" s="6"/>
      <c r="S95" s="6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8"/>
      <c r="BO95" s="9"/>
    </row>
    <row r="96" s="4" customFormat="1">
      <c r="A96" s="2"/>
      <c r="B96" s="2"/>
      <c r="C96" s="2"/>
      <c r="D96" s="2"/>
      <c r="E96" s="2"/>
      <c r="F96" s="2"/>
      <c r="G96" s="2"/>
      <c r="H96" s="3"/>
      <c r="I96" s="3"/>
      <c r="J96" s="2"/>
      <c r="K96" s="51"/>
      <c r="O96" s="5"/>
      <c r="P96" s="5"/>
      <c r="R96" s="6"/>
      <c r="S96" s="6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8"/>
      <c r="BO96" s="9"/>
    </row>
    <row r="97" s="4" customFormat="1">
      <c r="A97" s="2"/>
      <c r="B97" s="2"/>
      <c r="C97" s="2"/>
      <c r="D97" s="2"/>
      <c r="E97" s="2"/>
      <c r="F97" s="2"/>
      <c r="G97" s="2"/>
      <c r="H97" s="3"/>
      <c r="I97" s="3"/>
      <c r="J97" s="2"/>
      <c r="K97" s="51"/>
      <c r="O97" s="5"/>
      <c r="P97" s="5"/>
      <c r="R97" s="6"/>
      <c r="S97" s="6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8"/>
      <c r="BO97" s="9"/>
    </row>
    <row r="98" s="4" customFormat="1">
      <c r="A98" s="2"/>
      <c r="B98" s="2"/>
      <c r="C98" s="2"/>
      <c r="D98" s="2"/>
      <c r="E98" s="2"/>
      <c r="F98" s="2"/>
      <c r="G98" s="2"/>
      <c r="H98" s="3"/>
      <c r="I98" s="3"/>
      <c r="J98" s="2"/>
      <c r="K98" s="51"/>
      <c r="O98" s="5"/>
      <c r="P98" s="5"/>
      <c r="R98" s="6"/>
      <c r="S98" s="6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8"/>
      <c r="BO98" s="9"/>
    </row>
    <row r="99" s="4" customFormat="1">
      <c r="A99" s="2"/>
      <c r="B99" s="2"/>
      <c r="C99" s="2"/>
      <c r="D99" s="2"/>
      <c r="E99" s="2"/>
      <c r="F99" s="2"/>
      <c r="G99" s="2"/>
      <c r="H99" s="3"/>
      <c r="I99" s="3"/>
      <c r="J99" s="2"/>
      <c r="K99" s="51"/>
      <c r="O99" s="5"/>
      <c r="P99" s="5"/>
      <c r="R99" s="6"/>
      <c r="S99" s="6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8"/>
      <c r="BO99" s="9"/>
    </row>
    <row r="100" s="4" customFormat="1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51"/>
      <c r="O100" s="5"/>
      <c r="P100" s="5"/>
      <c r="R100" s="6"/>
      <c r="S100" s="6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8"/>
      <c r="BO100" s="9"/>
    </row>
    <row r="101" s="4" customFormat="1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51"/>
      <c r="O101" s="5"/>
      <c r="P101" s="5"/>
      <c r="R101" s="6"/>
      <c r="S101" s="6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8"/>
      <c r="BO101" s="9"/>
    </row>
    <row r="102" s="4" customFormat="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51"/>
      <c r="O102" s="5"/>
      <c r="P102" s="5"/>
      <c r="R102" s="6"/>
      <c r="S102" s="6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8"/>
      <c r="BO102" s="9"/>
    </row>
    <row r="103" s="4" customFormat="1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51"/>
      <c r="O103" s="5"/>
      <c r="P103" s="5"/>
      <c r="R103" s="6"/>
      <c r="S103" s="6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8"/>
      <c r="BO103" s="9"/>
    </row>
    <row r="104" s="4" customFormat="1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51"/>
      <c r="O104" s="5"/>
      <c r="P104" s="5"/>
      <c r="R104" s="6"/>
      <c r="S104" s="6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8"/>
      <c r="BO104" s="9"/>
    </row>
    <row r="105" s="4" customFormat="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51"/>
      <c r="O105" s="5"/>
      <c r="P105" s="5"/>
      <c r="R105" s="6"/>
      <c r="S105" s="6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8"/>
      <c r="BO105" s="9"/>
    </row>
    <row r="106" s="4" customFormat="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51"/>
      <c r="O106" s="5"/>
      <c r="P106" s="5"/>
      <c r="R106" s="6"/>
      <c r="S106" s="6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8"/>
      <c r="BO106" s="9"/>
    </row>
    <row r="107" s="4" customFormat="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51"/>
      <c r="O107" s="5"/>
      <c r="P107" s="5"/>
      <c r="R107" s="6"/>
      <c r="S107" s="6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8"/>
      <c r="BO107" s="9"/>
    </row>
    <row r="108" s="4" customFormat="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51"/>
      <c r="O108" s="5"/>
      <c r="P108" s="5"/>
      <c r="R108" s="6"/>
      <c r="S108" s="6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8"/>
      <c r="BO108" s="9"/>
    </row>
    <row r="109" s="4" customFormat="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51"/>
      <c r="O109" s="5"/>
      <c r="P109" s="5"/>
      <c r="R109" s="6"/>
      <c r="S109" s="6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8"/>
      <c r="BO109" s="9"/>
    </row>
    <row r="110" s="4" customFormat="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51"/>
      <c r="O110" s="5"/>
      <c r="P110" s="5"/>
      <c r="R110" s="6"/>
      <c r="S110" s="6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8"/>
      <c r="BO110" s="9"/>
    </row>
    <row r="111" s="4" customFormat="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51"/>
      <c r="O111" s="5"/>
      <c r="P111" s="5"/>
      <c r="R111" s="6"/>
      <c r="S111" s="6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8"/>
      <c r="BO111" s="9"/>
    </row>
    <row r="112" s="4" customFormat="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51"/>
      <c r="O112" s="5"/>
      <c r="P112" s="5"/>
      <c r="R112" s="6"/>
      <c r="S112" s="6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8"/>
      <c r="BO112" s="9"/>
    </row>
    <row r="113" s="4" customFormat="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51"/>
      <c r="O113" s="5"/>
      <c r="P113" s="5"/>
      <c r="R113" s="6"/>
      <c r="S113" s="6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8"/>
      <c r="BO113" s="9"/>
    </row>
    <row r="114" s="4" customFormat="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51"/>
      <c r="O114" s="5"/>
      <c r="P114" s="5"/>
      <c r="R114" s="6"/>
      <c r="S114" s="6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8"/>
      <c r="BO114" s="9"/>
    </row>
    <row r="115" s="4" customFormat="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51"/>
      <c r="O115" s="5"/>
      <c r="P115" s="5"/>
      <c r="R115" s="6"/>
      <c r="S115" s="6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8"/>
      <c r="BO115" s="9"/>
    </row>
    <row r="116" s="4" customFormat="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51"/>
      <c r="O116" s="5"/>
      <c r="P116" s="5"/>
      <c r="R116" s="6"/>
      <c r="S116" s="6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8"/>
      <c r="BO116" s="9"/>
    </row>
    <row r="117" s="4" customFormat="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51"/>
      <c r="O117" s="5"/>
      <c r="P117" s="5"/>
      <c r="R117" s="6"/>
      <c r="S117" s="6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8"/>
      <c r="BO117" s="9"/>
    </row>
    <row r="118" s="4" customFormat="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51"/>
      <c r="O118" s="5"/>
      <c r="P118" s="5"/>
      <c r="R118" s="6"/>
      <c r="S118" s="6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8"/>
      <c r="BO118" s="9"/>
    </row>
    <row r="119" s="4" customFormat="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51"/>
      <c r="O119" s="5"/>
      <c r="P119" s="5"/>
      <c r="R119" s="6"/>
      <c r="S119" s="6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8"/>
      <c r="BO119" s="9"/>
    </row>
    <row r="120" s="4" customFormat="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51"/>
      <c r="O120" s="5"/>
      <c r="P120" s="5"/>
      <c r="R120" s="6"/>
      <c r="S120" s="6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8"/>
      <c r="BO120" s="9"/>
    </row>
    <row r="121" s="4" customFormat="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51"/>
      <c r="O121" s="5"/>
      <c r="P121" s="5"/>
      <c r="R121" s="6"/>
      <c r="S121" s="6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8"/>
      <c r="BO121" s="9"/>
    </row>
    <row r="122" s="4" customFormat="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51"/>
      <c r="O122" s="5"/>
      <c r="P122" s="5"/>
      <c r="R122" s="6"/>
      <c r="S122" s="6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8"/>
      <c r="BO122" s="9"/>
    </row>
    <row r="123" s="4" customFormat="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51"/>
      <c r="O123" s="5"/>
      <c r="P123" s="5"/>
      <c r="R123" s="6"/>
      <c r="S123" s="6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8"/>
      <c r="BO123" s="9"/>
    </row>
    <row r="124" s="4" customFormat="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51"/>
      <c r="O124" s="5"/>
      <c r="P124" s="5"/>
      <c r="R124" s="6"/>
      <c r="S124" s="6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8"/>
      <c r="BO124" s="9"/>
    </row>
    <row r="125" s="4" customFormat="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51"/>
      <c r="O125" s="5"/>
      <c r="P125" s="5"/>
      <c r="R125" s="6"/>
      <c r="S125" s="6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8"/>
      <c r="BO125" s="9"/>
    </row>
    <row r="126" s="4" customFormat="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51"/>
      <c r="O126" s="5"/>
      <c r="P126" s="5"/>
      <c r="R126" s="6"/>
      <c r="S126" s="6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8"/>
      <c r="BO126" s="9"/>
    </row>
    <row r="127" s="4" customFormat="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51"/>
      <c r="O127" s="5"/>
      <c r="P127" s="5"/>
      <c r="R127" s="6"/>
      <c r="S127" s="6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8"/>
      <c r="BO127" s="9"/>
    </row>
    <row r="128" s="4" customFormat="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51"/>
      <c r="O128" s="5"/>
      <c r="P128" s="5"/>
      <c r="R128" s="6"/>
      <c r="S128" s="6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8"/>
      <c r="BO128" s="9"/>
    </row>
    <row r="129" s="4" customFormat="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51"/>
      <c r="O129" s="5"/>
      <c r="P129" s="5"/>
      <c r="R129" s="6"/>
      <c r="S129" s="6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8"/>
      <c r="BO129" s="9"/>
    </row>
    <row r="130" s="4" customFormat="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51"/>
      <c r="O130" s="5"/>
      <c r="P130" s="5"/>
      <c r="R130" s="6"/>
      <c r="S130" s="6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8"/>
      <c r="BO130" s="9"/>
    </row>
    <row r="131" s="4" customFormat="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51"/>
      <c r="O131" s="5"/>
      <c r="P131" s="5"/>
      <c r="R131" s="6"/>
      <c r="S131" s="6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8"/>
      <c r="BO131" s="9"/>
    </row>
    <row r="132" s="4" customFormat="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51"/>
      <c r="O132" s="5"/>
      <c r="P132" s="5"/>
      <c r="R132" s="6"/>
      <c r="S132" s="6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8"/>
      <c r="BO132" s="9"/>
    </row>
    <row r="133" s="4" customFormat="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51"/>
      <c r="O133" s="5"/>
      <c r="P133" s="5"/>
      <c r="R133" s="6"/>
      <c r="S133" s="6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8"/>
      <c r="BO133" s="9"/>
    </row>
    <row r="134" s="4" customFormat="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51"/>
      <c r="O134" s="5"/>
      <c r="P134" s="5"/>
      <c r="R134" s="6"/>
      <c r="S134" s="6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8"/>
      <c r="BO134" s="9"/>
    </row>
    <row r="135" s="4" customFormat="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51"/>
      <c r="O135" s="5"/>
      <c r="P135" s="5"/>
      <c r="R135" s="6"/>
      <c r="S135" s="6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8"/>
      <c r="BO135" s="9"/>
    </row>
    <row r="136" s="4" customFormat="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51"/>
      <c r="O136" s="5"/>
      <c r="P136" s="5"/>
      <c r="R136" s="6"/>
      <c r="S136" s="6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8"/>
      <c r="BO136" s="9"/>
    </row>
    <row r="137" s="4" customFormat="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51"/>
      <c r="O137" s="5"/>
      <c r="P137" s="5"/>
      <c r="R137" s="6"/>
      <c r="S137" s="6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8"/>
      <c r="BO137" s="9"/>
    </row>
    <row r="138" s="4" customFormat="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51"/>
      <c r="O138" s="5"/>
      <c r="P138" s="5"/>
      <c r="R138" s="6"/>
      <c r="S138" s="6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8"/>
      <c r="BO138" s="9"/>
    </row>
    <row r="139" s="4" customFormat="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51"/>
      <c r="O139" s="5"/>
      <c r="P139" s="5"/>
      <c r="R139" s="6"/>
      <c r="S139" s="6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8"/>
      <c r="BO139" s="9"/>
    </row>
    <row r="140" s="4" customFormat="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51"/>
      <c r="O140" s="5"/>
      <c r="P140" s="5"/>
      <c r="R140" s="6"/>
      <c r="S140" s="6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8"/>
      <c r="BO140" s="9"/>
    </row>
    <row r="141" s="4" customFormat="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51"/>
      <c r="O141" s="5"/>
      <c r="P141" s="5"/>
      <c r="R141" s="6"/>
      <c r="S141" s="6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8"/>
      <c r="BO141" s="9"/>
    </row>
    <row r="142" s="4" customFormat="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51"/>
      <c r="O142" s="5"/>
      <c r="P142" s="5"/>
      <c r="R142" s="6"/>
      <c r="S142" s="6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8"/>
      <c r="BO142" s="9"/>
    </row>
    <row r="143" s="4" customFormat="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51"/>
      <c r="O143" s="5"/>
      <c r="P143" s="5"/>
      <c r="R143" s="6"/>
      <c r="S143" s="6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8"/>
      <c r="BO143" s="9"/>
    </row>
    <row r="144" s="4" customFormat="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51"/>
      <c r="O144" s="5"/>
      <c r="P144" s="5"/>
      <c r="R144" s="6"/>
      <c r="S144" s="6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8"/>
      <c r="BO144" s="9"/>
    </row>
    <row r="145" s="4" customFormat="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51"/>
      <c r="O145" s="5"/>
      <c r="P145" s="5"/>
      <c r="R145" s="6"/>
      <c r="S145" s="6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8"/>
      <c r="BO145" s="9"/>
    </row>
    <row r="146" s="4" customFormat="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51"/>
      <c r="O146" s="5"/>
      <c r="P146" s="5"/>
      <c r="R146" s="6"/>
      <c r="S146" s="6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8"/>
      <c r="BO146" s="9"/>
    </row>
    <row r="147" s="4" customFormat="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51"/>
      <c r="O147" s="5"/>
      <c r="P147" s="5"/>
      <c r="R147" s="6"/>
      <c r="S147" s="6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8"/>
      <c r="BO147" s="9"/>
    </row>
    <row r="148" s="4" customFormat="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51"/>
      <c r="O148" s="5"/>
      <c r="P148" s="5"/>
      <c r="R148" s="6"/>
      <c r="S148" s="6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8"/>
      <c r="BO148" s="9"/>
    </row>
    <row r="149" s="4" customFormat="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51"/>
      <c r="O149" s="5"/>
      <c r="P149" s="5"/>
      <c r="R149" s="6"/>
      <c r="S149" s="6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8"/>
      <c r="BO149" s="9"/>
    </row>
    <row r="150" s="4" customFormat="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51"/>
      <c r="O150" s="5"/>
      <c r="P150" s="5"/>
      <c r="R150" s="6"/>
      <c r="S150" s="6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8"/>
      <c r="BO150" s="9"/>
    </row>
    <row r="151" s="4" customFormat="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51"/>
      <c r="O151" s="5"/>
      <c r="P151" s="5"/>
      <c r="R151" s="6"/>
      <c r="S151" s="6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8"/>
      <c r="BO151" s="9"/>
    </row>
    <row r="152" s="4" customFormat="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51"/>
      <c r="O152" s="5"/>
      <c r="P152" s="5"/>
      <c r="R152" s="6"/>
      <c r="S152" s="6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8"/>
      <c r="BO152" s="9"/>
    </row>
    <row r="153" s="4" customFormat="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51"/>
      <c r="O153" s="5"/>
      <c r="P153" s="5"/>
      <c r="R153" s="6"/>
      <c r="S153" s="6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8"/>
      <c r="BO153" s="9"/>
    </row>
    <row r="154" s="4" customFormat="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51"/>
      <c r="O154" s="5"/>
      <c r="P154" s="5"/>
      <c r="R154" s="6"/>
      <c r="S154" s="6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8"/>
      <c r="BO154" s="9"/>
    </row>
    <row r="155" s="4" customFormat="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51"/>
      <c r="O155" s="5"/>
      <c r="P155" s="5"/>
      <c r="R155" s="6"/>
      <c r="S155" s="6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8"/>
      <c r="BO155" s="9"/>
    </row>
    <row r="156" s="4" customFormat="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51"/>
      <c r="O156" s="5"/>
      <c r="P156" s="5"/>
      <c r="R156" s="6"/>
      <c r="S156" s="6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8"/>
      <c r="BO156" s="9"/>
    </row>
    <row r="157" s="4" customFormat="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51"/>
      <c r="O157" s="5"/>
      <c r="P157" s="5"/>
      <c r="R157" s="6"/>
      <c r="S157" s="6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8"/>
      <c r="BO157" s="9"/>
    </row>
    <row r="158" s="4" customFormat="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51"/>
      <c r="O158" s="5"/>
      <c r="P158" s="5"/>
      <c r="R158" s="6"/>
      <c r="S158" s="6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8"/>
      <c r="BO158" s="9"/>
    </row>
    <row r="159" s="4" customFormat="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51"/>
      <c r="O159" s="5"/>
      <c r="P159" s="5"/>
      <c r="R159" s="6"/>
      <c r="S159" s="6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8"/>
      <c r="BO159" s="9"/>
    </row>
    <row r="160" s="4" customFormat="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51"/>
      <c r="O160" s="5"/>
      <c r="P160" s="5"/>
      <c r="R160" s="6"/>
      <c r="S160" s="6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8"/>
      <c r="BO160" s="9"/>
    </row>
    <row r="161" s="4" customFormat="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51"/>
      <c r="O161" s="5"/>
      <c r="P161" s="5"/>
      <c r="R161" s="6"/>
      <c r="S161" s="6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8"/>
      <c r="BO161" s="9"/>
    </row>
    <row r="162" s="4" customFormat="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51"/>
      <c r="O162" s="5"/>
      <c r="P162" s="5"/>
      <c r="R162" s="6"/>
      <c r="S162" s="6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8"/>
      <c r="BO162" s="9"/>
    </row>
    <row r="163" s="4" customFormat="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51"/>
      <c r="O163" s="5"/>
      <c r="P163" s="5"/>
      <c r="R163" s="6"/>
      <c r="S163" s="6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8"/>
      <c r="BO163" s="9"/>
    </row>
    <row r="164" s="4" customFormat="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51"/>
      <c r="O164" s="5"/>
      <c r="P164" s="5"/>
      <c r="R164" s="6"/>
      <c r="S164" s="6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8"/>
      <c r="BO164" s="9"/>
    </row>
    <row r="165" s="4" customFormat="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51"/>
      <c r="O165" s="5"/>
      <c r="P165" s="5"/>
      <c r="R165" s="6"/>
      <c r="S165" s="6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8"/>
      <c r="BO165" s="9"/>
    </row>
    <row r="166" s="4" customFormat="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51"/>
      <c r="O166" s="5"/>
      <c r="P166" s="5"/>
      <c r="R166" s="6"/>
      <c r="S166" s="6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8"/>
      <c r="BO166" s="9"/>
    </row>
    <row r="167" s="4" customFormat="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51"/>
      <c r="O167" s="5"/>
      <c r="P167" s="5"/>
      <c r="R167" s="6"/>
      <c r="S167" s="6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8"/>
      <c r="BO167" s="9"/>
    </row>
    <row r="168" s="4" customFormat="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51"/>
      <c r="O168" s="5"/>
      <c r="P168" s="5"/>
      <c r="R168" s="6"/>
      <c r="S168" s="6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8"/>
      <c r="BO168" s="9"/>
    </row>
    <row r="169" s="4" customFormat="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51"/>
      <c r="O169" s="5"/>
      <c r="P169" s="5"/>
      <c r="R169" s="6"/>
      <c r="S169" s="6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8"/>
      <c r="BO169" s="9"/>
    </row>
    <row r="170" s="4" customFormat="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51"/>
      <c r="O170" s="5"/>
      <c r="P170" s="5"/>
      <c r="R170" s="6"/>
      <c r="S170" s="6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8"/>
      <c r="BO170" s="9"/>
    </row>
    <row r="171" s="4" customFormat="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51"/>
      <c r="O171" s="5"/>
      <c r="P171" s="5"/>
      <c r="R171" s="6"/>
      <c r="S171" s="6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8"/>
      <c r="BO171" s="9"/>
    </row>
    <row r="172" s="4" customFormat="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51"/>
      <c r="O172" s="5"/>
      <c r="P172" s="5"/>
      <c r="R172" s="6"/>
      <c r="S172" s="6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8"/>
      <c r="BO172" s="9"/>
    </row>
    <row r="173" s="4" customFormat="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51"/>
      <c r="O173" s="5"/>
      <c r="P173" s="5"/>
      <c r="R173" s="6"/>
      <c r="S173" s="6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8"/>
      <c r="BO173" s="9"/>
    </row>
    <row r="174" s="4" customFormat="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51"/>
      <c r="O174" s="5"/>
      <c r="P174" s="5"/>
      <c r="R174" s="6"/>
      <c r="S174" s="6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8"/>
      <c r="BO174" s="9"/>
    </row>
    <row r="175" s="4" customFormat="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51"/>
      <c r="O175" s="5"/>
      <c r="P175" s="5"/>
      <c r="R175" s="6"/>
      <c r="S175" s="6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8"/>
      <c r="BO175" s="9"/>
    </row>
    <row r="176" s="4" customFormat="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51"/>
      <c r="O176" s="5"/>
      <c r="P176" s="5"/>
      <c r="R176" s="6"/>
      <c r="S176" s="6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8"/>
      <c r="BO176" s="9"/>
    </row>
    <row r="177" s="4" customFormat="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51"/>
      <c r="O177" s="5"/>
      <c r="P177" s="5"/>
      <c r="R177" s="6"/>
      <c r="S177" s="6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8"/>
      <c r="BO177" s="9"/>
    </row>
    <row r="178" s="4" customFormat="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51"/>
      <c r="O178" s="5"/>
      <c r="P178" s="5"/>
      <c r="R178" s="6"/>
      <c r="S178" s="6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8"/>
      <c r="BO178" s="9"/>
    </row>
    <row r="179" s="4" customFormat="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51"/>
      <c r="O179" s="5"/>
      <c r="P179" s="5"/>
      <c r="R179" s="6"/>
      <c r="S179" s="6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8"/>
      <c r="BO179" s="9"/>
    </row>
    <row r="180" s="4" customFormat="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51"/>
      <c r="O180" s="5"/>
      <c r="P180" s="5"/>
      <c r="R180" s="6"/>
      <c r="S180" s="6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8"/>
      <c r="BO180" s="9"/>
    </row>
    <row r="181" s="4" customFormat="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51"/>
      <c r="O181" s="5"/>
      <c r="P181" s="5"/>
      <c r="R181" s="6"/>
      <c r="S181" s="6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8"/>
      <c r="BO181" s="9"/>
    </row>
    <row r="182" s="4" customFormat="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51"/>
      <c r="O182" s="5"/>
      <c r="P182" s="5"/>
      <c r="R182" s="6"/>
      <c r="S182" s="6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8"/>
      <c r="BO182" s="9"/>
    </row>
    <row r="183" s="4" customFormat="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51"/>
      <c r="O183" s="5"/>
      <c r="P183" s="5"/>
      <c r="R183" s="6"/>
      <c r="S183" s="6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8"/>
      <c r="BO183" s="9"/>
    </row>
    <row r="184" s="4" customFormat="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51"/>
      <c r="O184" s="5"/>
      <c r="P184" s="5"/>
      <c r="R184" s="6"/>
      <c r="S184" s="6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8"/>
      <c r="BO184" s="9"/>
    </row>
    <row r="185" s="4" customFormat="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51"/>
      <c r="O185" s="5"/>
      <c r="P185" s="5"/>
      <c r="R185" s="6"/>
      <c r="S185" s="6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8"/>
      <c r="BO185" s="9"/>
    </row>
    <row r="186" s="4" customFormat="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51"/>
      <c r="O186" s="5"/>
      <c r="P186" s="5"/>
      <c r="R186" s="6"/>
      <c r="S186" s="6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8"/>
      <c r="BO186" s="9"/>
    </row>
    <row r="187" s="4" customFormat="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51"/>
      <c r="O187" s="5"/>
      <c r="P187" s="5"/>
      <c r="R187" s="6"/>
      <c r="S187" s="6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8"/>
      <c r="BO187" s="9"/>
    </row>
    <row r="188" s="4" customFormat="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51"/>
      <c r="O188" s="5"/>
      <c r="P188" s="5"/>
      <c r="R188" s="6"/>
      <c r="S188" s="6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8"/>
      <c r="BO188" s="9"/>
    </row>
    <row r="189" s="4" customFormat="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51"/>
      <c r="O189" s="5"/>
      <c r="P189" s="5"/>
      <c r="R189" s="6"/>
      <c r="S189" s="6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8"/>
      <c r="BO189" s="9"/>
    </row>
    <row r="190" s="4" customFormat="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51"/>
      <c r="O190" s="5"/>
      <c r="P190" s="5"/>
      <c r="R190" s="6"/>
      <c r="S190" s="6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8"/>
      <c r="BO190" s="9"/>
    </row>
    <row r="191" s="4" customFormat="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51"/>
      <c r="O191" s="5"/>
      <c r="P191" s="5"/>
      <c r="R191" s="6"/>
      <c r="S191" s="6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8"/>
      <c r="BO191" s="9"/>
    </row>
    <row r="192" s="4" customFormat="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51"/>
      <c r="O192" s="5"/>
      <c r="P192" s="5"/>
      <c r="R192" s="6"/>
      <c r="S192" s="6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8"/>
      <c r="BO192" s="9"/>
    </row>
    <row r="193" s="4" customFormat="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51"/>
      <c r="O193" s="5"/>
      <c r="P193" s="5"/>
      <c r="R193" s="6"/>
      <c r="S193" s="6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8"/>
      <c r="BO193" s="9"/>
    </row>
    <row r="194" s="4" customFormat="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51"/>
      <c r="O194" s="5"/>
      <c r="P194" s="5"/>
      <c r="R194" s="6"/>
      <c r="S194" s="6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8"/>
      <c r="BO194" s="9"/>
    </row>
    <row r="195" s="4" customFormat="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51"/>
      <c r="O195" s="5"/>
      <c r="P195" s="5"/>
      <c r="R195" s="6"/>
      <c r="S195" s="6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8"/>
      <c r="BO195" s="9"/>
    </row>
    <row r="196" s="4" customFormat="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51"/>
      <c r="O196" s="5"/>
      <c r="P196" s="5"/>
      <c r="R196" s="6"/>
      <c r="S196" s="6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8"/>
      <c r="BO196" s="9"/>
    </row>
    <row r="197" s="4" customFormat="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51"/>
      <c r="O197" s="5"/>
      <c r="P197" s="5"/>
      <c r="R197" s="6"/>
      <c r="S197" s="6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8"/>
      <c r="BO197" s="9"/>
    </row>
    <row r="198" s="4" customFormat="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51"/>
      <c r="O198" s="5"/>
      <c r="P198" s="5"/>
      <c r="R198" s="6"/>
      <c r="S198" s="6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8"/>
      <c r="BO198" s="9"/>
    </row>
    <row r="199" s="4" customFormat="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51"/>
      <c r="O199" s="5"/>
      <c r="P199" s="5"/>
      <c r="R199" s="6"/>
      <c r="S199" s="6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8"/>
      <c r="BO199" s="9"/>
    </row>
    <row r="200" s="4" customFormat="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51"/>
      <c r="O200" s="5"/>
      <c r="P200" s="5"/>
      <c r="R200" s="6"/>
      <c r="S200" s="6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8"/>
      <c r="BO200" s="9"/>
    </row>
    <row r="201" s="4" customFormat="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51"/>
      <c r="O201" s="5"/>
      <c r="P201" s="5"/>
      <c r="R201" s="6"/>
      <c r="S201" s="6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8"/>
      <c r="BO201" s="9"/>
    </row>
    <row r="202" s="4" customFormat="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51"/>
      <c r="O202" s="5"/>
      <c r="P202" s="5"/>
      <c r="R202" s="6"/>
      <c r="S202" s="6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8"/>
      <c r="BO202" s="9"/>
    </row>
    <row r="203" s="4" customFormat="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51"/>
      <c r="O203" s="5"/>
      <c r="P203" s="5"/>
      <c r="R203" s="6"/>
      <c r="S203" s="6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8"/>
      <c r="BO203" s="9"/>
    </row>
    <row r="204" s="4" customFormat="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51"/>
      <c r="O204" s="5"/>
      <c r="P204" s="5"/>
      <c r="R204" s="6"/>
      <c r="S204" s="6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8"/>
      <c r="BO204" s="9"/>
    </row>
    <row r="205" s="4" customFormat="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51"/>
      <c r="O205" s="5"/>
      <c r="P205" s="5"/>
      <c r="R205" s="6"/>
      <c r="S205" s="6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8"/>
      <c r="BO205" s="9"/>
    </row>
    <row r="206" s="4" customFormat="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51"/>
      <c r="O206" s="5"/>
      <c r="P206" s="5"/>
      <c r="R206" s="6"/>
      <c r="S206" s="6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8"/>
      <c r="BO206" s="9"/>
    </row>
    <row r="207" s="4" customFormat="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51"/>
      <c r="O207" s="5"/>
      <c r="P207" s="5"/>
      <c r="R207" s="6"/>
      <c r="S207" s="6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8"/>
      <c r="BO207" s="9"/>
    </row>
    <row r="208" s="4" customFormat="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51"/>
      <c r="O208" s="5"/>
      <c r="P208" s="5"/>
      <c r="R208" s="6"/>
      <c r="S208" s="6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8"/>
      <c r="BO208" s="9"/>
    </row>
    <row r="209" s="4" customFormat="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51"/>
      <c r="O209" s="5"/>
      <c r="P209" s="5"/>
      <c r="R209" s="6"/>
      <c r="S209" s="6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8"/>
      <c r="BO209" s="9"/>
    </row>
    <row r="210" s="4" customFormat="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51"/>
      <c r="O210" s="5"/>
      <c r="P210" s="5"/>
      <c r="R210" s="6"/>
      <c r="S210" s="6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8"/>
      <c r="BO210" s="9"/>
    </row>
    <row r="211" s="4" customFormat="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51"/>
      <c r="O211" s="5"/>
      <c r="P211" s="5"/>
      <c r="R211" s="6"/>
      <c r="S211" s="6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8"/>
      <c r="BO211" s="9"/>
    </row>
    <row r="212" s="4" customFormat="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51"/>
      <c r="O212" s="5"/>
      <c r="P212" s="5"/>
      <c r="R212" s="6"/>
      <c r="S212" s="6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8"/>
      <c r="BO212" s="9"/>
    </row>
    <row r="213" s="4" customFormat="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51"/>
      <c r="O213" s="5"/>
      <c r="P213" s="5"/>
      <c r="R213" s="6"/>
      <c r="S213" s="6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8"/>
      <c r="BO213" s="9"/>
    </row>
    <row r="214" s="4" customFormat="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51"/>
      <c r="O214" s="5"/>
      <c r="P214" s="5"/>
      <c r="R214" s="6"/>
      <c r="S214" s="6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8"/>
      <c r="BO214" s="9"/>
    </row>
    <row r="215" s="4" customFormat="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51"/>
      <c r="O215" s="5"/>
      <c r="P215" s="5"/>
      <c r="R215" s="6"/>
      <c r="S215" s="6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8"/>
      <c r="BO215" s="9"/>
    </row>
    <row r="216" s="4" customFormat="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51"/>
      <c r="O216" s="5"/>
      <c r="P216" s="5"/>
      <c r="R216" s="6"/>
      <c r="S216" s="6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8"/>
      <c r="BO216" s="9"/>
    </row>
    <row r="217" s="4" customFormat="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51"/>
      <c r="O217" s="5"/>
      <c r="P217" s="5"/>
      <c r="R217" s="6"/>
      <c r="S217" s="6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8"/>
      <c r="BO217" s="9"/>
    </row>
    <row r="218" s="4" customFormat="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51"/>
      <c r="O218" s="5"/>
      <c r="P218" s="5"/>
      <c r="R218" s="6"/>
      <c r="S218" s="6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8"/>
      <c r="BO218" s="9"/>
    </row>
    <row r="219" s="4" customFormat="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51"/>
      <c r="O219" s="5"/>
      <c r="P219" s="5"/>
      <c r="R219" s="6"/>
      <c r="S219" s="6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8"/>
      <c r="BO219" s="9"/>
    </row>
    <row r="220" s="4" customFormat="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51"/>
      <c r="O220" s="5"/>
      <c r="P220" s="5"/>
      <c r="R220" s="6"/>
      <c r="S220" s="6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8"/>
      <c r="BO220" s="9"/>
    </row>
    <row r="221" s="4" customFormat="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51"/>
      <c r="O221" s="5"/>
      <c r="P221" s="5"/>
      <c r="R221" s="6"/>
      <c r="S221" s="6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8"/>
      <c r="BO221" s="9"/>
    </row>
    <row r="222" s="4" customFormat="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51"/>
      <c r="O222" s="5"/>
      <c r="P222" s="5"/>
      <c r="R222" s="6"/>
      <c r="S222" s="6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8"/>
      <c r="BO222" s="9"/>
    </row>
    <row r="223" s="4" customFormat="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51"/>
      <c r="O223" s="5"/>
      <c r="P223" s="5"/>
      <c r="R223" s="6"/>
      <c r="S223" s="6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8"/>
      <c r="BO223" s="9"/>
    </row>
    <row r="224" s="4" customFormat="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51"/>
      <c r="O224" s="5"/>
      <c r="P224" s="5"/>
      <c r="R224" s="6"/>
      <c r="S224" s="6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8"/>
      <c r="BO224" s="9"/>
    </row>
    <row r="225" s="4" customFormat="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51"/>
      <c r="O225" s="5"/>
      <c r="P225" s="5"/>
      <c r="R225" s="6"/>
      <c r="S225" s="6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8"/>
      <c r="BO225" s="9"/>
    </row>
    <row r="226" s="4" customFormat="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51"/>
      <c r="O226" s="5"/>
      <c r="P226" s="5"/>
      <c r="R226" s="6"/>
      <c r="S226" s="6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8"/>
      <c r="BO226" s="9"/>
    </row>
    <row r="227" s="4" customFormat="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51"/>
      <c r="O227" s="5"/>
      <c r="P227" s="5"/>
      <c r="R227" s="6"/>
      <c r="S227" s="6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8"/>
      <c r="BO227" s="9"/>
    </row>
    <row r="228" s="4" customFormat="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51"/>
      <c r="O228" s="5"/>
      <c r="P228" s="5"/>
      <c r="R228" s="6"/>
      <c r="S228" s="6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8"/>
      <c r="BO228" s="9"/>
    </row>
    <row r="229" s="4" customFormat="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51"/>
      <c r="O229" s="5"/>
      <c r="P229" s="5"/>
      <c r="R229" s="6"/>
      <c r="S229" s="6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8"/>
      <c r="BO229" s="9"/>
    </row>
    <row r="230" s="4" customFormat="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51"/>
      <c r="O230" s="5"/>
      <c r="P230" s="5"/>
      <c r="R230" s="6"/>
      <c r="S230" s="6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8"/>
      <c r="BO230" s="9"/>
    </row>
    <row r="231" s="4" customFormat="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51"/>
      <c r="O231" s="5"/>
      <c r="P231" s="5"/>
      <c r="R231" s="6"/>
      <c r="S231" s="6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8"/>
      <c r="BO231" s="9"/>
    </row>
    <row r="232" s="4" customFormat="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51"/>
      <c r="O232" s="5"/>
      <c r="P232" s="5"/>
      <c r="R232" s="6"/>
      <c r="S232" s="6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8"/>
      <c r="BO232" s="9"/>
    </row>
    <row r="233" s="4" customFormat="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51"/>
      <c r="O233" s="5"/>
      <c r="P233" s="5"/>
      <c r="R233" s="6"/>
      <c r="S233" s="6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8"/>
      <c r="BO233" s="9"/>
    </row>
    <row r="234" s="4" customFormat="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51"/>
      <c r="O234" s="5"/>
      <c r="P234" s="5"/>
      <c r="R234" s="6"/>
      <c r="S234" s="6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8"/>
      <c r="BO234" s="9"/>
    </row>
    <row r="235" s="4" customFormat="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51"/>
      <c r="O235" s="5"/>
      <c r="P235" s="5"/>
      <c r="R235" s="6"/>
      <c r="S235" s="6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8"/>
      <c r="BO235" s="9"/>
    </row>
    <row r="236" s="4" customFormat="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51"/>
      <c r="O236" s="5"/>
      <c r="P236" s="5"/>
      <c r="R236" s="6"/>
      <c r="S236" s="6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8"/>
      <c r="BO236" s="9"/>
    </row>
    <row r="237" s="4" customFormat="1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51"/>
      <c r="O237" s="5"/>
      <c r="P237" s="5"/>
      <c r="R237" s="6"/>
      <c r="S237" s="6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8"/>
      <c r="BO237" s="9"/>
    </row>
    <row r="238" s="4" customFormat="1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51"/>
      <c r="O238" s="5"/>
      <c r="P238" s="5"/>
      <c r="R238" s="6"/>
      <c r="S238" s="6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8"/>
      <c r="BO238" s="9"/>
    </row>
    <row r="239" s="4" customFormat="1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51"/>
      <c r="O239" s="5"/>
      <c r="P239" s="5"/>
      <c r="R239" s="6"/>
      <c r="S239" s="6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8"/>
      <c r="BO239" s="9"/>
    </row>
    <row r="240" s="4" customFormat="1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51"/>
      <c r="O240" s="5"/>
      <c r="P240" s="5"/>
      <c r="R240" s="6"/>
      <c r="S240" s="6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8"/>
      <c r="BO240" s="9"/>
    </row>
    <row r="241" s="4" customFormat="1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51"/>
      <c r="O241" s="5"/>
      <c r="P241" s="5"/>
      <c r="R241" s="6"/>
      <c r="S241" s="6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8"/>
      <c r="BO241" s="9"/>
    </row>
    <row r="242" s="4" customFormat="1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51"/>
      <c r="O242" s="5"/>
      <c r="P242" s="5"/>
      <c r="R242" s="6"/>
      <c r="S242" s="6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8"/>
      <c r="BO242" s="9"/>
    </row>
    <row r="243" s="4" customFormat="1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51"/>
      <c r="O243" s="5"/>
      <c r="P243" s="5"/>
      <c r="R243" s="6"/>
      <c r="S243" s="6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8"/>
      <c r="BO243" s="9"/>
    </row>
    <row r="244" s="4" customFormat="1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51"/>
      <c r="O244" s="5"/>
      <c r="P244" s="5"/>
      <c r="R244" s="6"/>
      <c r="S244" s="6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8"/>
      <c r="BO244" s="9"/>
    </row>
    <row r="245" s="4" customFormat="1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51"/>
      <c r="O245" s="5"/>
      <c r="P245" s="5"/>
      <c r="R245" s="6"/>
      <c r="S245" s="6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8"/>
      <c r="BO245" s="9"/>
    </row>
    <row r="246" s="4" customFormat="1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51"/>
      <c r="O246" s="5"/>
      <c r="P246" s="5"/>
      <c r="R246" s="6"/>
      <c r="S246" s="6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8"/>
      <c r="BO246" s="9"/>
    </row>
    <row r="247" s="4" customFormat="1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51"/>
      <c r="O247" s="5"/>
      <c r="P247" s="5"/>
      <c r="R247" s="6"/>
      <c r="S247" s="6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8"/>
      <c r="BO247" s="9"/>
    </row>
    <row r="248" s="4" customFormat="1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51"/>
      <c r="O248" s="5"/>
      <c r="P248" s="5"/>
      <c r="R248" s="6"/>
      <c r="S248" s="6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8"/>
      <c r="BO248" s="9"/>
    </row>
    <row r="249" s="4" customFormat="1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51"/>
      <c r="O249" s="5"/>
      <c r="P249" s="5"/>
      <c r="R249" s="6"/>
      <c r="S249" s="6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8"/>
      <c r="BO249" s="9"/>
    </row>
  </sheetData>
  <autoFilter ref="A1:AS22">
    <filterColumn colId="17">
      <filters>
        <filter val="-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McNabb</dc:creator>
  <cp:revision>1</cp:revision>
  <dcterms:created xsi:type="dcterms:W3CDTF">2023-11-30T03:26:00Z</dcterms:created>
  <dcterms:modified xsi:type="dcterms:W3CDTF">2025-10-14T03:41:46Z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EB6B39EE6CCB42D0ABC0024F38332BD5_12</vt:lpwstr>
  </property>
  <property fmtid="{D5CDD505-2E9C-101B-9397-08002B2CF9AE}" pid="3" name="KSOProductBuildVer">
    <vt:lpwstr>1033-12.2.0.21931</vt:lpwstr>
  </property>
</Properties>
</file>