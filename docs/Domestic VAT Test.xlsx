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ocuments/UNDP 2023/New contract_TE for database/IT Consulting Firm/Database Design/"/>
    </mc:Choice>
  </mc:AlternateContent>
  <xr:revisionPtr revIDLastSave="0" documentId="13_ncr:1_{55B06FDA-EEC8-0B4C-AEAF-DE74C3F063A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Sheet1!$I$1:$I$70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</calcChain>
</file>

<file path=xl/sharedStrings.xml><?xml version="1.0" encoding="utf-8"?>
<sst xmlns="http://schemas.openxmlformats.org/spreadsheetml/2006/main" count="137" uniqueCount="64">
  <si>
    <t>Province</t>
  </si>
  <si>
    <t>Department</t>
  </si>
  <si>
    <t>TIN</t>
  </si>
  <si>
    <t>880782489-900</t>
  </si>
  <si>
    <t>456977486-900</t>
  </si>
  <si>
    <t>583429006-900</t>
  </si>
  <si>
    <t>543163802-900</t>
  </si>
  <si>
    <t>580761167-900</t>
  </si>
  <si>
    <t>Name</t>
  </si>
  <si>
    <t>ບໍລິສັດ ລາວມີໄຊ ຈຳກັດ</t>
  </si>
  <si>
    <t>ບໍລິສັດ ໄຟຟ້າ ນ້ຳເທີນ 1 ຈຳກັດ</t>
  </si>
  <si>
    <t>ບໍລິສັດ ພັດທະນາ ກະສິກຳ ລາວ-ຍີ່ປຸ່ນ ຊຽງຂວາງ ຈຳກັດ</t>
  </si>
  <si>
    <t>ບໍລິສັດ ໄຟຟ້ານ້ຳເທີນ 2 ຈຳກັດ</t>
  </si>
  <si>
    <t>ບໍລິສັດ ຊີໂນ-ອາກຣີໂປຕາສ ຈຳກັດ</t>
  </si>
  <si>
    <t>ບໍລິສັດ ຊີໂນ-ອາກຣີ ໂປຕາສ ຈຳກັດ</t>
  </si>
  <si>
    <t>FilingType</t>
  </si>
  <si>
    <t>ປະຈຳເດືອນ</t>
  </si>
  <si>
    <t>FilingPeriod</t>
  </si>
  <si>
    <t>12/2022</t>
  </si>
  <si>
    <t>05/2021</t>
  </si>
  <si>
    <t>04/2022</t>
  </si>
  <si>
    <t>02/2023</t>
  </si>
  <si>
    <t>10/2022</t>
  </si>
  <si>
    <t>08/2020</t>
  </si>
  <si>
    <t>03/2021</t>
  </si>
  <si>
    <t>04/2021</t>
  </si>
  <si>
    <t>10/2020</t>
  </si>
  <si>
    <t>09/2022</t>
  </si>
  <si>
    <t>06/2021</t>
  </si>
  <si>
    <t>01/2022</t>
  </si>
  <si>
    <t>11/2020</t>
  </si>
  <si>
    <t>10/2021</t>
  </si>
  <si>
    <t>09/2023</t>
  </si>
  <si>
    <t>06/2019</t>
  </si>
  <si>
    <t>11/2022</t>
  </si>
  <si>
    <t>11/2021</t>
  </si>
  <si>
    <t>05/2019</t>
  </si>
  <si>
    <t>InputDate</t>
  </si>
  <si>
    <t>20/12/2021</t>
  </si>
  <si>
    <t>19/11/2021</t>
  </si>
  <si>
    <t>17/10/2023</t>
  </si>
  <si>
    <t>12/10/2022</t>
  </si>
  <si>
    <t>18/12/2022</t>
  </si>
  <si>
    <t>13/12/2022</t>
  </si>
  <si>
    <t>07/11/2022</t>
  </si>
  <si>
    <t>13/03/2023</t>
  </si>
  <si>
    <t>12/05/2021</t>
  </si>
  <si>
    <t>15/07/2019</t>
  </si>
  <si>
    <t>20/04/2021</t>
  </si>
  <si>
    <t>04/06/2019</t>
  </si>
  <si>
    <t>11/02/2022</t>
  </si>
  <si>
    <t>03/09/2020</t>
  </si>
  <si>
    <t>14/06/2021</t>
  </si>
  <si>
    <t>19/05/2022</t>
  </si>
  <si>
    <t>16/07/2021</t>
  </si>
  <si>
    <t>20/12/2020</t>
  </si>
  <si>
    <t>09/11/2020</t>
  </si>
  <si>
    <t>25/01/2023</t>
  </si>
  <si>
    <t>19/05/2021</t>
  </si>
  <si>
    <t>Rate</t>
  </si>
  <si>
    <t>Domestic sale exemption</t>
  </si>
  <si>
    <t>Domestic VAT TE</t>
  </si>
  <si>
    <t>Description of the sale</t>
  </si>
  <si>
    <t># of Provision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</si>
</sst>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0" formatCode="_(* #,##0_);_(* \(#,##0\);_(* &quot;-&quot;??_);_(@_)"/>
  </numFmts>
  <fonts count="2" x14ac:knownFonts="1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FFB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0" fontId="1" fillId="0" borderId="0" xfId="1" applyNumberFormat="1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43" fontId="0" fillId="2" borderId="0" xfId="0" applyNumberFormat="1" applyFill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0FF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B1" zoomScale="150" workbookViewId="0">
      <selection activeCell="K2" sqref="K2"/>
    </sheetView>
  </sheetViews>
  <sheetFormatPr baseColWidth="10" defaultColWidth="8.83203125" defaultRowHeight="15" x14ac:dyDescent="0.2"/>
  <cols>
    <col min="3" max="3" width="12.6640625" customWidth="1"/>
    <col min="4" max="4" width="12.33203125" customWidth="1"/>
    <col min="5" max="5" width="11.6640625" customWidth="1"/>
    <col min="6" max="7" width="12.5" customWidth="1"/>
    <col min="9" max="9" width="16.83203125" customWidth="1"/>
    <col min="10" max="10" width="18.83203125" customWidth="1"/>
    <col min="11" max="11" width="15.5" customWidth="1"/>
  </cols>
  <sheetData>
    <row r="1" spans="1:11" s="1" customFormat="1" ht="32" x14ac:dyDescent="0.2">
      <c r="A1" s="1" t="s">
        <v>0</v>
      </c>
      <c r="B1" s="1" t="s">
        <v>2</v>
      </c>
      <c r="C1" s="1" t="s">
        <v>8</v>
      </c>
      <c r="D1" s="1" t="s">
        <v>15</v>
      </c>
      <c r="E1" s="1" t="s">
        <v>17</v>
      </c>
      <c r="F1" s="1" t="s">
        <v>37</v>
      </c>
      <c r="G1" s="2" t="s">
        <v>62</v>
      </c>
      <c r="H1" s="1" t="s">
        <v>59</v>
      </c>
      <c r="I1" s="2" t="s">
        <v>60</v>
      </c>
      <c r="J1" s="4" t="s">
        <v>61</v>
      </c>
      <c r="K1" s="4" t="s">
        <v>63</v>
      </c>
    </row>
    <row r="2" spans="1:11" x14ac:dyDescent="0.2">
      <c r="A2" t="s">
        <v>1</v>
      </c>
      <c r="B2" t="s">
        <v>3</v>
      </c>
      <c r="C2" t="s">
        <v>9</v>
      </c>
      <c r="D2" t="s">
        <v>16</v>
      </c>
      <c r="E2" t="s">
        <v>26</v>
      </c>
      <c r="F2" t="s">
        <v>56</v>
      </c>
      <c r="H2">
        <v>10</v>
      </c>
      <c r="I2" s="3">
        <v>1617992605</v>
      </c>
      <c r="J2" s="5">
        <f>I2*H2/100</f>
        <v>161799260.5</v>
      </c>
      <c r="K2" s="6"/>
    </row>
    <row r="3" spans="1:11" x14ac:dyDescent="0.2">
      <c r="A3" t="s">
        <v>1</v>
      </c>
      <c r="B3" t="s">
        <v>7</v>
      </c>
      <c r="C3" t="s">
        <v>13</v>
      </c>
      <c r="D3" t="s">
        <v>16</v>
      </c>
      <c r="E3" t="s">
        <v>28</v>
      </c>
      <c r="F3" t="s">
        <v>54</v>
      </c>
      <c r="H3">
        <v>10</v>
      </c>
      <c r="I3" s="3">
        <v>1871120832</v>
      </c>
      <c r="J3" s="5">
        <f t="shared" ref="J3:J21" si="0">I3*H3/100</f>
        <v>187112083.19999999</v>
      </c>
      <c r="K3" s="6"/>
    </row>
    <row r="4" spans="1:11" x14ac:dyDescent="0.2">
      <c r="A4" t="s">
        <v>1</v>
      </c>
      <c r="B4" t="s">
        <v>6</v>
      </c>
      <c r="C4" t="s">
        <v>12</v>
      </c>
      <c r="D4" t="s">
        <v>16</v>
      </c>
      <c r="E4" t="s">
        <v>19</v>
      </c>
      <c r="F4" t="s">
        <v>52</v>
      </c>
      <c r="H4">
        <v>10</v>
      </c>
      <c r="I4" s="3">
        <v>10008773452</v>
      </c>
      <c r="J4" s="5">
        <f t="shared" si="0"/>
        <v>1000877345.2</v>
      </c>
      <c r="K4" s="6"/>
    </row>
    <row r="5" spans="1:11" x14ac:dyDescent="0.2">
      <c r="A5" t="s">
        <v>1</v>
      </c>
      <c r="B5" t="s">
        <v>6</v>
      </c>
      <c r="C5" t="s">
        <v>12</v>
      </c>
      <c r="D5" t="s">
        <v>16</v>
      </c>
      <c r="E5" t="s">
        <v>25</v>
      </c>
      <c r="F5" t="s">
        <v>46</v>
      </c>
      <c r="H5">
        <v>10</v>
      </c>
      <c r="I5" s="3">
        <v>11461800111</v>
      </c>
      <c r="J5" s="5">
        <f t="shared" si="0"/>
        <v>1146180011.0999999</v>
      </c>
      <c r="K5" s="6"/>
    </row>
    <row r="6" spans="1:11" x14ac:dyDescent="0.2">
      <c r="A6" t="s">
        <v>1</v>
      </c>
      <c r="B6" t="s">
        <v>6</v>
      </c>
      <c r="C6" t="s">
        <v>12</v>
      </c>
      <c r="D6" t="s">
        <v>16</v>
      </c>
      <c r="E6" t="s">
        <v>34</v>
      </c>
      <c r="F6" t="s">
        <v>43</v>
      </c>
      <c r="H6">
        <v>7</v>
      </c>
      <c r="I6" s="3">
        <v>11531862833</v>
      </c>
      <c r="J6" s="5">
        <f t="shared" si="0"/>
        <v>807230398.30999994</v>
      </c>
      <c r="K6" s="6"/>
    </row>
    <row r="7" spans="1:11" x14ac:dyDescent="0.2">
      <c r="A7" t="s">
        <v>1</v>
      </c>
      <c r="B7" t="s">
        <v>6</v>
      </c>
      <c r="C7" t="s">
        <v>12</v>
      </c>
      <c r="D7" t="s">
        <v>16</v>
      </c>
      <c r="E7" t="s">
        <v>29</v>
      </c>
      <c r="F7" t="s">
        <v>50</v>
      </c>
      <c r="H7">
        <v>7</v>
      </c>
      <c r="I7" s="3">
        <v>11570907479</v>
      </c>
      <c r="J7" s="5">
        <f t="shared" si="0"/>
        <v>809963523.52999997</v>
      </c>
      <c r="K7" s="6"/>
    </row>
    <row r="8" spans="1:11" x14ac:dyDescent="0.2">
      <c r="A8" t="s">
        <v>1</v>
      </c>
      <c r="B8" t="s">
        <v>7</v>
      </c>
      <c r="C8" t="s">
        <v>14</v>
      </c>
      <c r="D8" t="s">
        <v>16</v>
      </c>
      <c r="E8" t="s">
        <v>30</v>
      </c>
      <c r="F8" t="s">
        <v>55</v>
      </c>
      <c r="H8">
        <v>10</v>
      </c>
      <c r="I8" s="3">
        <v>11714798952</v>
      </c>
      <c r="J8" s="5">
        <f t="shared" si="0"/>
        <v>1171479895.2</v>
      </c>
      <c r="K8" s="6"/>
    </row>
    <row r="9" spans="1:11" x14ac:dyDescent="0.2">
      <c r="A9" t="s">
        <v>1</v>
      </c>
      <c r="B9" t="s">
        <v>6</v>
      </c>
      <c r="C9" t="s">
        <v>12</v>
      </c>
      <c r="D9" t="s">
        <v>16</v>
      </c>
      <c r="E9" t="s">
        <v>36</v>
      </c>
      <c r="F9" t="s">
        <v>49</v>
      </c>
      <c r="H9">
        <v>10</v>
      </c>
      <c r="I9" s="3">
        <v>11920668318</v>
      </c>
      <c r="J9" s="5">
        <f t="shared" si="0"/>
        <v>1192066831.8</v>
      </c>
      <c r="K9" s="6"/>
    </row>
    <row r="10" spans="1:11" x14ac:dyDescent="0.2">
      <c r="A10" t="s">
        <v>1</v>
      </c>
      <c r="B10" t="s">
        <v>6</v>
      </c>
      <c r="C10" t="s">
        <v>12</v>
      </c>
      <c r="D10" t="s">
        <v>16</v>
      </c>
      <c r="E10" t="s">
        <v>27</v>
      </c>
      <c r="F10" t="s">
        <v>41</v>
      </c>
      <c r="H10">
        <v>7</v>
      </c>
      <c r="I10" s="3">
        <v>11952547735</v>
      </c>
      <c r="J10" s="5">
        <f t="shared" si="0"/>
        <v>836678341.45000005</v>
      </c>
      <c r="K10" s="6"/>
    </row>
    <row r="11" spans="1:11" x14ac:dyDescent="0.2">
      <c r="A11" t="s">
        <v>1</v>
      </c>
      <c r="B11" t="s">
        <v>7</v>
      </c>
      <c r="C11" t="s">
        <v>13</v>
      </c>
      <c r="D11" t="s">
        <v>16</v>
      </c>
      <c r="E11" t="s">
        <v>35</v>
      </c>
      <c r="F11" t="s">
        <v>38</v>
      </c>
      <c r="H11">
        <v>10</v>
      </c>
      <c r="I11" s="3">
        <v>113822746584</v>
      </c>
      <c r="J11" s="5">
        <f t="shared" si="0"/>
        <v>11382274658.4</v>
      </c>
      <c r="K11" s="6"/>
    </row>
    <row r="12" spans="1:11" x14ac:dyDescent="0.2">
      <c r="A12" t="s">
        <v>1</v>
      </c>
      <c r="B12" t="s">
        <v>5</v>
      </c>
      <c r="C12" t="s">
        <v>11</v>
      </c>
      <c r="D12" t="s">
        <v>16</v>
      </c>
      <c r="E12" t="s">
        <v>32</v>
      </c>
      <c r="F12" t="s">
        <v>40</v>
      </c>
      <c r="H12">
        <v>7</v>
      </c>
      <c r="I12" s="3">
        <v>115260000</v>
      </c>
      <c r="J12" s="5">
        <f t="shared" si="0"/>
        <v>8068200</v>
      </c>
      <c r="K12" s="6"/>
    </row>
    <row r="13" spans="1:11" x14ac:dyDescent="0.2">
      <c r="A13" t="s">
        <v>1</v>
      </c>
      <c r="B13" t="s">
        <v>7</v>
      </c>
      <c r="C13" t="s">
        <v>13</v>
      </c>
      <c r="D13" t="s">
        <v>16</v>
      </c>
      <c r="E13" t="s">
        <v>25</v>
      </c>
      <c r="F13" t="s">
        <v>58</v>
      </c>
      <c r="H13">
        <v>10</v>
      </c>
      <c r="I13" s="3">
        <v>116249562000</v>
      </c>
      <c r="J13" s="5">
        <f t="shared" si="0"/>
        <v>11624956200</v>
      </c>
      <c r="K13" s="6"/>
    </row>
    <row r="14" spans="1:11" x14ac:dyDescent="0.2">
      <c r="A14" t="s">
        <v>1</v>
      </c>
      <c r="B14" t="s">
        <v>7</v>
      </c>
      <c r="C14" t="s">
        <v>13</v>
      </c>
      <c r="D14" t="s">
        <v>16</v>
      </c>
      <c r="E14" t="s">
        <v>24</v>
      </c>
      <c r="F14" t="s">
        <v>48</v>
      </c>
      <c r="H14">
        <v>10</v>
      </c>
      <c r="I14" s="3">
        <v>118514774504</v>
      </c>
      <c r="J14" s="5">
        <f t="shared" si="0"/>
        <v>11851477450.4</v>
      </c>
      <c r="K14" s="6"/>
    </row>
    <row r="15" spans="1:11" x14ac:dyDescent="0.2">
      <c r="A15" t="s">
        <v>1</v>
      </c>
      <c r="B15" t="s">
        <v>6</v>
      </c>
      <c r="C15" t="s">
        <v>12</v>
      </c>
      <c r="D15" t="s">
        <v>16</v>
      </c>
      <c r="E15" t="s">
        <v>22</v>
      </c>
      <c r="F15" t="s">
        <v>44</v>
      </c>
      <c r="H15">
        <v>7</v>
      </c>
      <c r="I15" s="3">
        <v>12703316686</v>
      </c>
      <c r="J15" s="5">
        <f t="shared" si="0"/>
        <v>889232168.01999998</v>
      </c>
      <c r="K15" s="6"/>
    </row>
    <row r="16" spans="1:11" x14ac:dyDescent="0.2">
      <c r="A16" t="s">
        <v>1</v>
      </c>
      <c r="B16" t="s">
        <v>7</v>
      </c>
      <c r="C16" t="s">
        <v>13</v>
      </c>
      <c r="D16" t="s">
        <v>16</v>
      </c>
      <c r="E16" t="s">
        <v>20</v>
      </c>
      <c r="F16" t="s">
        <v>53</v>
      </c>
      <c r="H16">
        <v>7</v>
      </c>
      <c r="I16" s="3">
        <v>123683640000</v>
      </c>
      <c r="J16" s="5">
        <f t="shared" si="0"/>
        <v>8657854800</v>
      </c>
      <c r="K16" s="6"/>
    </row>
    <row r="17" spans="1:11" x14ac:dyDescent="0.2">
      <c r="A17" t="s">
        <v>1</v>
      </c>
      <c r="B17" t="s">
        <v>4</v>
      </c>
      <c r="C17" t="s">
        <v>10</v>
      </c>
      <c r="D17" t="s">
        <v>16</v>
      </c>
      <c r="E17" t="s">
        <v>21</v>
      </c>
      <c r="F17" t="s">
        <v>45</v>
      </c>
      <c r="H17">
        <v>7</v>
      </c>
      <c r="I17" s="3">
        <v>129360522819</v>
      </c>
      <c r="J17" s="5">
        <f t="shared" si="0"/>
        <v>9055236597.3299999</v>
      </c>
      <c r="K17" s="6"/>
    </row>
    <row r="18" spans="1:11" x14ac:dyDescent="0.2">
      <c r="A18" t="s">
        <v>1</v>
      </c>
      <c r="B18" t="s">
        <v>6</v>
      </c>
      <c r="C18" t="s">
        <v>12</v>
      </c>
      <c r="D18" t="s">
        <v>16</v>
      </c>
      <c r="E18" t="s">
        <v>23</v>
      </c>
      <c r="F18" t="s">
        <v>51</v>
      </c>
      <c r="H18">
        <v>10</v>
      </c>
      <c r="I18" s="3">
        <v>13275586415</v>
      </c>
      <c r="J18" s="5">
        <f t="shared" si="0"/>
        <v>1327558641.5</v>
      </c>
      <c r="K18" s="6"/>
    </row>
    <row r="19" spans="1:11" x14ac:dyDescent="0.2">
      <c r="A19" t="s">
        <v>1</v>
      </c>
      <c r="B19" t="s">
        <v>4</v>
      </c>
      <c r="C19" t="s">
        <v>10</v>
      </c>
      <c r="D19" t="s">
        <v>16</v>
      </c>
      <c r="E19" t="s">
        <v>18</v>
      </c>
      <c r="F19" t="s">
        <v>57</v>
      </c>
      <c r="H19">
        <v>7</v>
      </c>
      <c r="I19" s="3">
        <v>134454752727</v>
      </c>
      <c r="J19" s="5">
        <f t="shared" si="0"/>
        <v>9411832690.8899994</v>
      </c>
      <c r="K19" s="6"/>
    </row>
    <row r="20" spans="1:11" x14ac:dyDescent="0.2">
      <c r="A20" t="s">
        <v>1</v>
      </c>
      <c r="B20" t="s">
        <v>6</v>
      </c>
      <c r="C20" t="s">
        <v>12</v>
      </c>
      <c r="D20" t="s">
        <v>16</v>
      </c>
      <c r="E20" t="s">
        <v>33</v>
      </c>
      <c r="F20" t="s">
        <v>47</v>
      </c>
      <c r="H20">
        <v>10</v>
      </c>
      <c r="I20" s="3">
        <v>15216874449</v>
      </c>
      <c r="J20" s="5">
        <f t="shared" si="0"/>
        <v>1521687444.9000001</v>
      </c>
      <c r="K20" s="6"/>
    </row>
    <row r="21" spans="1:11" x14ac:dyDescent="0.2">
      <c r="A21" t="s">
        <v>1</v>
      </c>
      <c r="B21" t="s">
        <v>7</v>
      </c>
      <c r="C21" t="s">
        <v>13</v>
      </c>
      <c r="D21" t="s">
        <v>16</v>
      </c>
      <c r="E21" t="s">
        <v>31</v>
      </c>
      <c r="F21" t="s">
        <v>39</v>
      </c>
      <c r="H21">
        <v>10</v>
      </c>
      <c r="I21" s="3">
        <v>150805831780</v>
      </c>
      <c r="J21" s="5">
        <f t="shared" si="0"/>
        <v>15080583178</v>
      </c>
      <c r="K21" s="6"/>
    </row>
    <row r="22" spans="1:11" x14ac:dyDescent="0.2">
      <c r="A22" t="s">
        <v>1</v>
      </c>
      <c r="B22" t="s">
        <v>4</v>
      </c>
      <c r="C22" t="s">
        <v>10</v>
      </c>
      <c r="D22" t="s">
        <v>16</v>
      </c>
      <c r="E22" t="s">
        <v>34</v>
      </c>
      <c r="F22" t="s">
        <v>42</v>
      </c>
      <c r="H22">
        <v>7</v>
      </c>
      <c r="I22" s="3">
        <v>155740612088</v>
      </c>
      <c r="J22" s="5">
        <f>I22*H22/100</f>
        <v>10901842846.16</v>
      </c>
      <c r="K22" s="6"/>
    </row>
  </sheetData>
  <autoFilter ref="I1:I70" xr:uid="{00000000-0001-0000-0000-000000000000}">
    <sortState xmlns:xlrd2="http://schemas.microsoft.com/office/spreadsheetml/2017/richdata2" ref="A2:I70">
      <sortCondition ref="I1:I7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Thiptaiya SYDAVONG</cp:lastModifiedBy>
  <dcterms:modified xsi:type="dcterms:W3CDTF">2025-10-01T16:37:28Z</dcterms:modified>
</cp:coreProperties>
</file>