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Tax-ETS\docs\"/>
    </mc:Choice>
  </mc:AlternateContent>
  <xr:revisionPtr revIDLastSave="0" documentId="13_ncr:1_{87F79156-7D7B-40F0-AE89-614039F3F732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ystem testing" sheetId="1" r:id="rId1"/>
  </sheets>
  <definedNames>
    <definedName name="_xlnm._FilterDatabase" localSheetId="0" hidden="1">'System testing'!$A$1:$AS$22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L22" i="1" l="1"/>
  <c r="BK22" i="1"/>
  <c r="BJ22" i="1"/>
  <c r="AZ22" i="1"/>
  <c r="AX22" i="1"/>
  <c r="AW22" i="1"/>
  <c r="AV22" i="1"/>
  <c r="AU22" i="1"/>
  <c r="AT22" i="1"/>
  <c r="AS22" i="1"/>
  <c r="AN22" i="1"/>
  <c r="BA22" i="1" s="1"/>
  <c r="P22" i="1"/>
  <c r="M22" i="1"/>
  <c r="H22" i="1"/>
  <c r="BG22" i="1" s="1"/>
  <c r="G22" i="1"/>
  <c r="AY22" i="1" s="1"/>
  <c r="BL21" i="1"/>
  <c r="BK21" i="1"/>
  <c r="BJ21" i="1"/>
  <c r="BI21" i="1"/>
  <c r="BH21" i="1"/>
  <c r="BG21" i="1"/>
  <c r="BF21" i="1"/>
  <c r="BC21" i="1"/>
  <c r="BB21" i="1"/>
  <c r="BA21" i="1"/>
  <c r="AZ21" i="1"/>
  <c r="AY21" i="1"/>
  <c r="AX21" i="1"/>
  <c r="AW21" i="1"/>
  <c r="AV21" i="1"/>
  <c r="AU21" i="1"/>
  <c r="AT21" i="1"/>
  <c r="AS21" i="1"/>
  <c r="AN21" i="1"/>
  <c r="Q21" i="1"/>
  <c r="R21" i="1" s="1"/>
  <c r="P21" i="1"/>
  <c r="H21" i="1"/>
  <c r="G21" i="1"/>
  <c r="BE21" i="1" s="1"/>
  <c r="BL20" i="1"/>
  <c r="BK20" i="1"/>
  <c r="BJ20" i="1"/>
  <c r="BC20" i="1"/>
  <c r="BB20" i="1"/>
  <c r="AX20" i="1"/>
  <c r="AW20" i="1"/>
  <c r="AV20" i="1"/>
  <c r="AU20" i="1"/>
  <c r="AT20" i="1"/>
  <c r="AS20" i="1"/>
  <c r="AN20" i="1"/>
  <c r="BA20" i="1" s="1"/>
  <c r="P20" i="1"/>
  <c r="Q20" i="1" s="1"/>
  <c r="R20" i="1" s="1"/>
  <c r="H20" i="1"/>
  <c r="BG20" i="1" s="1"/>
  <c r="G20" i="1"/>
  <c r="BI20" i="1" s="1"/>
  <c r="BL19" i="1"/>
  <c r="BK19" i="1"/>
  <c r="BJ19" i="1"/>
  <c r="BI19" i="1"/>
  <c r="BH19" i="1"/>
  <c r="BG19" i="1"/>
  <c r="BF19" i="1"/>
  <c r="BC19" i="1"/>
  <c r="BB19" i="1"/>
  <c r="AZ19" i="1"/>
  <c r="AY19" i="1"/>
  <c r="AX19" i="1"/>
  <c r="AW19" i="1"/>
  <c r="AV19" i="1"/>
  <c r="AU19" i="1"/>
  <c r="AT19" i="1"/>
  <c r="AS19" i="1"/>
  <c r="AN19" i="1"/>
  <c r="BA19" i="1" s="1"/>
  <c r="Q19" i="1"/>
  <c r="R19" i="1" s="1"/>
  <c r="P19" i="1"/>
  <c r="G19" i="1"/>
  <c r="BD19" i="1" s="1"/>
  <c r="BL18" i="1"/>
  <c r="BK18" i="1"/>
  <c r="BJ18" i="1"/>
  <c r="BI18" i="1"/>
  <c r="BH18" i="1"/>
  <c r="BG18" i="1"/>
  <c r="BF18" i="1"/>
  <c r="BE18" i="1"/>
  <c r="BD18" i="1"/>
  <c r="BC18" i="1"/>
  <c r="BB18" i="1"/>
  <c r="AZ18" i="1"/>
  <c r="AY18" i="1"/>
  <c r="AX18" i="1"/>
  <c r="AW18" i="1"/>
  <c r="AV18" i="1"/>
  <c r="AU18" i="1"/>
  <c r="AT18" i="1"/>
  <c r="AS18" i="1"/>
  <c r="AN18" i="1"/>
  <c r="BA18" i="1" s="1"/>
  <c r="P18" i="1"/>
  <c r="M18" i="1"/>
  <c r="BL17" i="1"/>
  <c r="BK17" i="1"/>
  <c r="BJ17" i="1"/>
  <c r="BH17" i="1"/>
  <c r="BG17" i="1"/>
  <c r="BF17" i="1"/>
  <c r="BC17" i="1"/>
  <c r="BB17" i="1"/>
  <c r="AZ17" i="1"/>
  <c r="AX17" i="1"/>
  <c r="AW17" i="1"/>
  <c r="AV17" i="1"/>
  <c r="AU17" i="1"/>
  <c r="AT17" i="1"/>
  <c r="AS17" i="1"/>
  <c r="AN17" i="1"/>
  <c r="BA17" i="1" s="1"/>
  <c r="P17" i="1"/>
  <c r="M17" i="1"/>
  <c r="Q17" i="1" s="1"/>
  <c r="R17" i="1" s="1"/>
  <c r="G17" i="1"/>
  <c r="AY17" i="1" s="1"/>
  <c r="BL16" i="1"/>
  <c r="BK16" i="1"/>
  <c r="BJ16" i="1"/>
  <c r="BI16" i="1"/>
  <c r="BH16" i="1"/>
  <c r="BG16" i="1"/>
  <c r="BF16" i="1"/>
  <c r="BE16" i="1"/>
  <c r="BD16" i="1"/>
  <c r="BC16" i="1"/>
  <c r="BB16" i="1"/>
  <c r="AZ16" i="1"/>
  <c r="AY16" i="1"/>
  <c r="AX16" i="1"/>
  <c r="AW16" i="1"/>
  <c r="AV16" i="1"/>
  <c r="AU16" i="1"/>
  <c r="AT16" i="1"/>
  <c r="AS16" i="1"/>
  <c r="AN16" i="1"/>
  <c r="BA16" i="1" s="1"/>
  <c r="P16" i="1"/>
  <c r="M16" i="1"/>
  <c r="BL15" i="1"/>
  <c r="BK15" i="1"/>
  <c r="BJ15" i="1"/>
  <c r="BI15" i="1"/>
  <c r="BG15" i="1"/>
  <c r="BF15" i="1"/>
  <c r="BC15" i="1"/>
  <c r="BA15" i="1"/>
  <c r="AZ15" i="1"/>
  <c r="AX15" i="1"/>
  <c r="AW15" i="1"/>
  <c r="AV15" i="1"/>
  <c r="AU15" i="1"/>
  <c r="AT15" i="1"/>
  <c r="AS15" i="1"/>
  <c r="AN15" i="1"/>
  <c r="P15" i="1"/>
  <c r="M15" i="1"/>
  <c r="G15" i="1"/>
  <c r="BH15" i="1" s="1"/>
  <c r="BL14" i="1"/>
  <c r="BK14" i="1"/>
  <c r="BJ14" i="1"/>
  <c r="BI14" i="1"/>
  <c r="BH14" i="1"/>
  <c r="BG14" i="1"/>
  <c r="BF14" i="1"/>
  <c r="BD14" i="1"/>
  <c r="BC14" i="1"/>
  <c r="BB14" i="1"/>
  <c r="AZ14" i="1"/>
  <c r="AY14" i="1"/>
  <c r="AX14" i="1"/>
  <c r="AW14" i="1"/>
  <c r="AV14" i="1"/>
  <c r="AU14" i="1"/>
  <c r="AT14" i="1"/>
  <c r="AS14" i="1"/>
  <c r="AN14" i="1"/>
  <c r="BA14" i="1" s="1"/>
  <c r="Q14" i="1"/>
  <c r="R14" i="1" s="1"/>
  <c r="P14" i="1"/>
  <c r="M14" i="1"/>
  <c r="G14" i="1"/>
  <c r="BE14" i="1" s="1"/>
  <c r="BL13" i="1"/>
  <c r="BK13" i="1"/>
  <c r="BJ13" i="1"/>
  <c r="BI13" i="1"/>
  <c r="BH13" i="1"/>
  <c r="BG13" i="1"/>
  <c r="BF13" i="1"/>
  <c r="BE13" i="1"/>
  <c r="BD13" i="1"/>
  <c r="BC13" i="1"/>
  <c r="BB13" i="1"/>
  <c r="AZ13" i="1"/>
  <c r="AY13" i="1"/>
  <c r="AX13" i="1"/>
  <c r="AW13" i="1"/>
  <c r="AV13" i="1"/>
  <c r="AU13" i="1"/>
  <c r="AT13" i="1"/>
  <c r="AS13" i="1"/>
  <c r="AN13" i="1"/>
  <c r="BA13" i="1" s="1"/>
  <c r="P13" i="1"/>
  <c r="Q13" i="1" s="1"/>
  <c r="M13" i="1"/>
  <c r="R13" i="1" s="1"/>
  <c r="BL12" i="1"/>
  <c r="BK12" i="1"/>
  <c r="BJ12" i="1"/>
  <c r="BI12" i="1"/>
  <c r="BH12" i="1"/>
  <c r="BG12" i="1"/>
  <c r="BF12" i="1"/>
  <c r="BE12" i="1"/>
  <c r="BD12" i="1"/>
  <c r="BC12" i="1"/>
  <c r="BB12" i="1"/>
  <c r="BA12" i="1"/>
  <c r="AZ12" i="1"/>
  <c r="AY12" i="1"/>
  <c r="AX12" i="1"/>
  <c r="AW12" i="1"/>
  <c r="AV12" i="1"/>
  <c r="AU12" i="1"/>
  <c r="AT12" i="1"/>
  <c r="AS12" i="1"/>
  <c r="AN12" i="1"/>
  <c r="Q12" i="1"/>
  <c r="R12" i="1" s="1"/>
  <c r="P12" i="1"/>
  <c r="M12" i="1"/>
  <c r="BL11" i="1"/>
  <c r="BK11" i="1"/>
  <c r="BJ11" i="1"/>
  <c r="AX11" i="1"/>
  <c r="AW11" i="1"/>
  <c r="AV11" i="1"/>
  <c r="AU11" i="1"/>
  <c r="AT11" i="1"/>
  <c r="AS11" i="1"/>
  <c r="AN11" i="1"/>
  <c r="BA11" i="1" s="1"/>
  <c r="P11" i="1"/>
  <c r="M11" i="1"/>
  <c r="Q11" i="1" s="1"/>
  <c r="H11" i="1"/>
  <c r="BF11" i="1" s="1"/>
  <c r="G11" i="1"/>
  <c r="BI11" i="1" s="1"/>
  <c r="BL10" i="1"/>
  <c r="BK10" i="1"/>
  <c r="BJ10" i="1"/>
  <c r="BI10" i="1"/>
  <c r="BH10" i="1"/>
  <c r="BG10" i="1"/>
  <c r="BF10" i="1"/>
  <c r="BE10" i="1"/>
  <c r="BD10" i="1"/>
  <c r="BC10" i="1"/>
  <c r="BB10" i="1"/>
  <c r="BA10" i="1"/>
  <c r="AZ10" i="1"/>
  <c r="AY10" i="1"/>
  <c r="AX10" i="1"/>
  <c r="AW10" i="1"/>
  <c r="AV10" i="1"/>
  <c r="AU10" i="1"/>
  <c r="AT10" i="1"/>
  <c r="AS10" i="1"/>
  <c r="AN10" i="1"/>
  <c r="P10" i="1"/>
  <c r="M10" i="1"/>
  <c r="BL9" i="1"/>
  <c r="BK9" i="1"/>
  <c r="BJ9" i="1"/>
  <c r="BI9" i="1"/>
  <c r="BH9" i="1"/>
  <c r="BG9" i="1"/>
  <c r="BF9" i="1"/>
  <c r="BE9" i="1"/>
  <c r="BD9" i="1"/>
  <c r="BC9" i="1"/>
  <c r="BB9" i="1"/>
  <c r="AZ9" i="1"/>
  <c r="AY9" i="1"/>
  <c r="AX9" i="1"/>
  <c r="AW9" i="1"/>
  <c r="AV9" i="1"/>
  <c r="AU9" i="1"/>
  <c r="AT9" i="1"/>
  <c r="AS9" i="1"/>
  <c r="AN9" i="1"/>
  <c r="BA9" i="1" s="1"/>
  <c r="R9" i="1"/>
  <c r="BO9" i="1" s="1"/>
  <c r="Q9" i="1"/>
  <c r="P9" i="1"/>
  <c r="M9" i="1"/>
  <c r="BL8" i="1"/>
  <c r="BK8" i="1"/>
  <c r="BJ8" i="1"/>
  <c r="BD8" i="1"/>
  <c r="BA8" i="1"/>
  <c r="AX8" i="1"/>
  <c r="AW8" i="1"/>
  <c r="AV8" i="1"/>
  <c r="AU8" i="1"/>
  <c r="AT8" i="1"/>
  <c r="AS8" i="1"/>
  <c r="AN8" i="1"/>
  <c r="P8" i="1"/>
  <c r="M8" i="1"/>
  <c r="H8" i="1"/>
  <c r="AZ8" i="1" s="1"/>
  <c r="G8" i="1"/>
  <c r="AY8" i="1" s="1"/>
  <c r="BL7" i="1"/>
  <c r="BK7" i="1"/>
  <c r="BJ7" i="1"/>
  <c r="BI7" i="1"/>
  <c r="BH7" i="1"/>
  <c r="BG7" i="1"/>
  <c r="BF7" i="1"/>
  <c r="BC7" i="1"/>
  <c r="BB7" i="1"/>
  <c r="BA7" i="1"/>
  <c r="AZ7" i="1"/>
  <c r="AY7" i="1"/>
  <c r="AX7" i="1"/>
  <c r="AW7" i="1"/>
  <c r="AV7" i="1"/>
  <c r="AU7" i="1"/>
  <c r="AT7" i="1"/>
  <c r="AS7" i="1"/>
  <c r="AN7" i="1"/>
  <c r="Q7" i="1"/>
  <c r="R7" i="1" s="1"/>
  <c r="P7" i="1"/>
  <c r="M7" i="1"/>
  <c r="G7" i="1"/>
  <c r="BE7" i="1" s="1"/>
  <c r="BL6" i="1"/>
  <c r="BK6" i="1"/>
  <c r="BJ6" i="1"/>
  <c r="BE6" i="1"/>
  <c r="BD6" i="1"/>
  <c r="AY6" i="1"/>
  <c r="AX6" i="1"/>
  <c r="AW6" i="1"/>
  <c r="AV6" i="1"/>
  <c r="AU6" i="1"/>
  <c r="AT6" i="1"/>
  <c r="AS6" i="1"/>
  <c r="AN6" i="1"/>
  <c r="BA6" i="1" s="1"/>
  <c r="P6" i="1"/>
  <c r="M6" i="1"/>
  <c r="H6" i="1"/>
  <c r="BF6" i="1" s="1"/>
  <c r="G6" i="1"/>
  <c r="BB6" i="1" s="1"/>
  <c r="BL5" i="1"/>
  <c r="BK5" i="1"/>
  <c r="BJ5" i="1"/>
  <c r="BA5" i="1"/>
  <c r="AX5" i="1"/>
  <c r="AW5" i="1"/>
  <c r="AV5" i="1"/>
  <c r="AU5" i="1"/>
  <c r="AT5" i="1"/>
  <c r="AS5" i="1"/>
  <c r="AN5" i="1"/>
  <c r="P5" i="1"/>
  <c r="M5" i="1"/>
  <c r="Q5" i="1" s="1"/>
  <c r="H5" i="1"/>
  <c r="BC5" i="1" s="1"/>
  <c r="G5" i="1"/>
  <c r="BI5" i="1" s="1"/>
  <c r="BL4" i="1"/>
  <c r="BK4" i="1"/>
  <c r="BJ4" i="1"/>
  <c r="BI4" i="1"/>
  <c r="BH4" i="1"/>
  <c r="AZ4" i="1"/>
  <c r="AY4" i="1"/>
  <c r="AX4" i="1"/>
  <c r="AW4" i="1"/>
  <c r="AV4" i="1"/>
  <c r="AU4" i="1"/>
  <c r="AT4" i="1"/>
  <c r="AS4" i="1"/>
  <c r="AN4" i="1"/>
  <c r="BA4" i="1" s="1"/>
  <c r="P4" i="1"/>
  <c r="M4" i="1"/>
  <c r="H4" i="1"/>
  <c r="BG4" i="1" s="1"/>
  <c r="G4" i="1"/>
  <c r="BD4" i="1" s="1"/>
  <c r="BL3" i="1"/>
  <c r="BK3" i="1"/>
  <c r="BJ3" i="1"/>
  <c r="BI3" i="1"/>
  <c r="BH3" i="1"/>
  <c r="BG3" i="1"/>
  <c r="BF3" i="1"/>
  <c r="AZ3" i="1"/>
  <c r="AY3" i="1"/>
  <c r="AX3" i="1"/>
  <c r="AW3" i="1"/>
  <c r="AV3" i="1"/>
  <c r="AU3" i="1"/>
  <c r="AT3" i="1"/>
  <c r="AS3" i="1"/>
  <c r="AN3" i="1"/>
  <c r="BA3" i="1" s="1"/>
  <c r="Q3" i="1"/>
  <c r="R3" i="1" s="1"/>
  <c r="P3" i="1"/>
  <c r="M3" i="1"/>
  <c r="H3" i="1"/>
  <c r="BC3" i="1" s="1"/>
  <c r="G3" i="1"/>
  <c r="BE3" i="1" s="1"/>
  <c r="BL2" i="1"/>
  <c r="BK2" i="1"/>
  <c r="BJ2" i="1"/>
  <c r="BI2" i="1"/>
  <c r="BH2" i="1"/>
  <c r="BG2" i="1"/>
  <c r="BF2" i="1"/>
  <c r="BE2" i="1"/>
  <c r="BD2" i="1"/>
  <c r="AZ2" i="1"/>
  <c r="AY2" i="1"/>
  <c r="AX2" i="1"/>
  <c r="AW2" i="1"/>
  <c r="AV2" i="1"/>
  <c r="AU2" i="1"/>
  <c r="AT2" i="1"/>
  <c r="AS2" i="1"/>
  <c r="AN2" i="1"/>
  <c r="BA2" i="1" s="1"/>
  <c r="P2" i="1"/>
  <c r="M2" i="1"/>
  <c r="Q2" i="1" s="1"/>
  <c r="H2" i="1"/>
  <c r="BC2" i="1" s="1"/>
  <c r="G2" i="1"/>
  <c r="BB2" i="1" s="1"/>
  <c r="BM12" i="1" l="1"/>
  <c r="BN12" i="1" s="1"/>
  <c r="BO12" i="1"/>
  <c r="BO3" i="1"/>
  <c r="BM14" i="1"/>
  <c r="BN14" i="1" s="1"/>
  <c r="BO14" i="1"/>
  <c r="R18" i="1"/>
  <c r="R22" i="1"/>
  <c r="BO19" i="1"/>
  <c r="R4" i="1"/>
  <c r="R6" i="1"/>
  <c r="BO13" i="1"/>
  <c r="BM13" i="1"/>
  <c r="BN13" i="1" s="1"/>
  <c r="BO20" i="1"/>
  <c r="BM21" i="1"/>
  <c r="BN21" i="1" s="1"/>
  <c r="BO21" i="1"/>
  <c r="BO7" i="1"/>
  <c r="BO17" i="1"/>
  <c r="BB8" i="1"/>
  <c r="Q18" i="1"/>
  <c r="BB22" i="1"/>
  <c r="R2" i="1"/>
  <c r="BE22" i="1"/>
  <c r="BC8" i="1"/>
  <c r="BC22" i="1"/>
  <c r="AZ6" i="1"/>
  <c r="BE8" i="1"/>
  <c r="AY11" i="1"/>
  <c r="BD17" i="1"/>
  <c r="AY20" i="1"/>
  <c r="BD22" i="1"/>
  <c r="AY5" i="1"/>
  <c r="BD7" i="1"/>
  <c r="Q8" i="1"/>
  <c r="R8" i="1" s="1"/>
  <c r="BF8" i="1"/>
  <c r="AZ11" i="1"/>
  <c r="BE17" i="1"/>
  <c r="AZ20" i="1"/>
  <c r="AZ5" i="1"/>
  <c r="BG8" i="1"/>
  <c r="AY15" i="1"/>
  <c r="BD21" i="1"/>
  <c r="Q22" i="1"/>
  <c r="BF22" i="1"/>
  <c r="BH22" i="1"/>
  <c r="BC6" i="1"/>
  <c r="BI8" i="1"/>
  <c r="BM9" i="1"/>
  <c r="BN9" i="1" s="1"/>
  <c r="BB15" i="1"/>
  <c r="Q16" i="1"/>
  <c r="R16" i="1" s="1"/>
  <c r="BI17" i="1"/>
  <c r="BD20" i="1"/>
  <c r="BI22" i="1"/>
  <c r="BH8" i="1"/>
  <c r="BC11" i="1"/>
  <c r="BB4" i="1"/>
  <c r="BD5" i="1"/>
  <c r="Q6" i="1"/>
  <c r="BE4" i="1"/>
  <c r="R5" i="1"/>
  <c r="BG5" i="1"/>
  <c r="BI6" i="1"/>
  <c r="Q10" i="1"/>
  <c r="R10" i="1" s="1"/>
  <c r="BH11" i="1"/>
  <c r="Q15" i="1"/>
  <c r="R15" i="1" s="1"/>
  <c r="BE19" i="1"/>
  <c r="BM19" i="1" s="1"/>
  <c r="BH20" i="1"/>
  <c r="BB11" i="1"/>
  <c r="BB5" i="1"/>
  <c r="BE11" i="1"/>
  <c r="BE20" i="1"/>
  <c r="BC4" i="1"/>
  <c r="BE5" i="1"/>
  <c r="BG6" i="1"/>
  <c r="BF5" i="1"/>
  <c r="BH6" i="1"/>
  <c r="R11" i="1"/>
  <c r="BG11" i="1"/>
  <c r="BD11" i="1"/>
  <c r="BD15" i="1"/>
  <c r="BF20" i="1"/>
  <c r="BB3" i="1"/>
  <c r="BE15" i="1"/>
  <c r="BD3" i="1"/>
  <c r="Q4" i="1"/>
  <c r="BF4" i="1"/>
  <c r="BH5" i="1"/>
  <c r="BM16" i="1" l="1"/>
  <c r="BN16" i="1" s="1"/>
  <c r="BO16" i="1"/>
  <c r="BO8" i="1"/>
  <c r="BM8" i="1"/>
  <c r="BN8" i="1" s="1"/>
  <c r="BO15" i="1"/>
  <c r="BM15" i="1"/>
  <c r="BN15" i="1"/>
  <c r="BO10" i="1"/>
  <c r="BM10" i="1"/>
  <c r="BN10" i="1" s="1"/>
  <c r="BM20" i="1"/>
  <c r="BN20" i="1" s="1"/>
  <c r="BM3" i="1"/>
  <c r="BN3" i="1" s="1"/>
  <c r="BO18" i="1"/>
  <c r="BM18" i="1"/>
  <c r="BN18" i="1" s="1"/>
  <c r="BM7" i="1"/>
  <c r="BN7" i="1" s="1"/>
  <c r="BN19" i="1"/>
  <c r="BO5" i="1"/>
  <c r="BM5" i="1"/>
  <c r="BN5" i="1" s="1"/>
  <c r="BO22" i="1"/>
  <c r="BM22" i="1"/>
  <c r="BN22" i="1" s="1"/>
  <c r="BM17" i="1"/>
  <c r="BN17" i="1" s="1"/>
  <c r="BO6" i="1"/>
  <c r="BM6" i="1"/>
  <c r="BN6" i="1" s="1"/>
  <c r="BO4" i="1"/>
  <c r="BM4" i="1"/>
  <c r="BN4" i="1" s="1"/>
  <c r="BM11" i="1"/>
  <c r="BN11" i="1" s="1"/>
  <c r="BO11" i="1"/>
  <c r="BO2" i="1"/>
  <c r="BM2" i="1"/>
  <c r="BN2" i="1" s="1"/>
</calcChain>
</file>

<file path=xl/sharedStrings.xml><?xml version="1.0" encoding="utf-8"?>
<sst xmlns="http://schemas.openxmlformats.org/spreadsheetml/2006/main" count="170" uniqueCount="129">
  <si>
    <t>Year</t>
  </si>
  <si>
    <t>Investment License date</t>
  </si>
  <si>
    <t>Name of enterprise / branch representative</t>
  </si>
  <si>
    <t>TIN</t>
  </si>
  <si>
    <t>Province</t>
  </si>
  <si>
    <t>District</t>
  </si>
  <si>
    <t>Zone 1</t>
  </si>
  <si>
    <t>Zone 2</t>
  </si>
  <si>
    <t>Zone 3</t>
  </si>
  <si>
    <t>Sector</t>
  </si>
  <si>
    <t>Revenue</t>
  </si>
  <si>
    <t>Expense</t>
  </si>
  <si>
    <t>Net profit</t>
  </si>
  <si>
    <t>Re-invest net profit</t>
  </si>
  <si>
    <t>PT paid</t>
  </si>
  <si>
    <t>Benchmark PT Rate</t>
  </si>
  <si>
    <t>Benchmark PT</t>
  </si>
  <si>
    <t>PT TE</t>
  </si>
  <si>
    <t>Tax holiday period (years)</t>
  </si>
  <si>
    <t>Date of Registration License</t>
  </si>
  <si>
    <t>Businesses engaged in human resource development</t>
  </si>
  <si>
    <t>Businesses that apply innovative technologies that are environmentally friendly, resource-efficient, and use clean energy for production</t>
  </si>
  <si>
    <t>SEZ developer</t>
  </si>
  <si>
    <t>SEZ investor</t>
  </si>
  <si>
    <t>Activities on production industry, services on tourism industry development, services in public health, education, sport and physical activity, and real estate development</t>
  </si>
  <si>
    <t>Income from activities that provide a public benefit or social purpose, such as art, sport etc</t>
  </si>
  <si>
    <t>Rent from the assets of a business operator who complies with their income tax obligations</t>
  </si>
  <si>
    <t>Income from the transfer of real estate rights recorded in the balance sheet of a business operator</t>
  </si>
  <si>
    <t>Activity 1 of Art. 9, IPL</t>
  </si>
  <si>
    <t>Activity 2 of Art. 9, IPL</t>
  </si>
  <si>
    <t>Activity 3 of Art. 9, IPL</t>
  </si>
  <si>
    <t>Activity 4 of Art. 9, IPL</t>
  </si>
  <si>
    <t>Activity 5 of Art. 9, IPL</t>
  </si>
  <si>
    <t>Activity 6 of Art. 9, IPL</t>
  </si>
  <si>
    <t>Activity 7 of Art. 9, IPL</t>
  </si>
  <si>
    <t>Activity 8 of Art. 9, IPL</t>
  </si>
  <si>
    <t>Activity 9 of Art. 9, IPL</t>
  </si>
  <si>
    <t>List of enterprises holding VAT system</t>
  </si>
  <si>
    <t>date of re-invest</t>
  </si>
  <si>
    <t>Amount of net-profit re-invested (billion Kip)</t>
  </si>
  <si>
    <t>Amount of total assets (billio Kip)</t>
  </si>
  <si>
    <t>Annual turnover (billion Kip)</t>
  </si>
  <si>
    <t>Numbers of staff</t>
  </si>
  <si>
    <t>Registration date of firms in Lao Stock Exchange</t>
  </si>
  <si>
    <t>TE
#1</t>
  </si>
  <si>
    <t>TE
#2</t>
  </si>
  <si>
    <t>TE
#3</t>
  </si>
  <si>
    <t>TE
#4</t>
  </si>
  <si>
    <t>TE
#5</t>
  </si>
  <si>
    <t>TE
#6</t>
  </si>
  <si>
    <t>TE
#7</t>
  </si>
  <si>
    <t>TE
#8</t>
  </si>
  <si>
    <t>TE
#9</t>
  </si>
  <si>
    <t>TE
#10</t>
  </si>
  <si>
    <t>TE
#11</t>
  </si>
  <si>
    <t>TE
#12</t>
  </si>
  <si>
    <t>TE
#13</t>
  </si>
  <si>
    <t>TE
#14</t>
  </si>
  <si>
    <t>TE
#15</t>
  </si>
  <si>
    <t>TE
#16</t>
  </si>
  <si>
    <t>TE
#17</t>
  </si>
  <si>
    <t>TE
#18</t>
  </si>
  <si>
    <t>TE
#19</t>
  </si>
  <si>
    <t>TE
#20</t>
  </si>
  <si>
    <t>TE
#Other</t>
  </si>
  <si>
    <t>TE#</t>
  </si>
  <si>
    <t>Profit Tax TE</t>
  </si>
  <si>
    <t>ບໍລິສັດ ຮຸ້ນສ່ວນຕິນເງ່ຍ ລາວ ຈຳກັດ</t>
  </si>
  <si>
    <t>763723844-000</t>
  </si>
  <si>
    <t>Champasak</t>
  </si>
  <si>
    <t>Paksong District</t>
  </si>
  <si>
    <t>Agriculture</t>
  </si>
  <si>
    <t>ບໍລິສັດ  LaosŒThailand »ô¸ µ¾¤²¾ì¾ ຈຳກັດ</t>
  </si>
  <si>
    <t>602733805-900</t>
  </si>
  <si>
    <t>Savannakhet</t>
  </si>
  <si>
    <t>Outhoumphone District</t>
  </si>
  <si>
    <t>ບໍລິສັດ ແມ່ຂອງປູກຕົ້ນໄມ້ ຈຳກັດ</t>
  </si>
  <si>
    <t>379505006-900</t>
  </si>
  <si>
    <t>Bolikhamsai</t>
  </si>
  <si>
    <t>ບໍລິສັດ ເອັສ໌ທີດີ ຟຣາມ ຈຳກັດ</t>
  </si>
  <si>
    <t>140243135-000</t>
  </si>
  <si>
    <t>Vientiane Capital Province</t>
  </si>
  <si>
    <t>Naxaithong District</t>
  </si>
  <si>
    <t>Bank Taiwan ໂຄໂອເປີເຣທີບ ສາຂາVientiane Capital</t>
  </si>
  <si>
    <t>851705381-000</t>
  </si>
  <si>
    <t>Banking</t>
  </si>
  <si>
    <t>Bank Commerceຕ່າງCountryລາວ ມະຫາຊົນ</t>
  </si>
  <si>
    <t>909954240-900</t>
  </si>
  <si>
    <t>Chanthabuly District</t>
  </si>
  <si>
    <t>®ðìò¦ñ© LaosÀ¸ó- ´½¹¾§ö-</t>
  </si>
  <si>
    <t>729549606-900</t>
  </si>
  <si>
    <t>Xaysetha District</t>
  </si>
  <si>
    <t>Commerce</t>
  </si>
  <si>
    <t>ບໍລິສັດ ລາວ ຄາງທາຍ ຜະລິດຢາພື້ນDistrict ຈຳກັດ</t>
  </si>
  <si>
    <t>765173026-000</t>
  </si>
  <si>
    <t>Xaythany District</t>
  </si>
  <si>
    <t>ບໍລິສັດ ພັດທະນາຕົວDistrictອັດສະລິຍະ ຈຳກັດ</t>
  </si>
  <si>
    <t>670341668-000</t>
  </si>
  <si>
    <t>Construction</t>
  </si>
  <si>
    <t>ບໍລິສັດ ບໍລິການທີ່ປຶກສາ ລາວນໍ້າຄຳ ດ້ານແຮ່ທາດ ຈຳກັດ</t>
  </si>
  <si>
    <t>508054437-000</t>
  </si>
  <si>
    <t>Consultancy</t>
  </si>
  <si>
    <t>ບໍລິສັດ ຊິນດາ ທີ່ປຶກສາບັນຊີ ຈຳກັດຜູ້ດຽວ</t>
  </si>
  <si>
    <t>170631442-000</t>
  </si>
  <si>
    <t>ບໍລິສັດ ຮຸ່ງເຮືອງ ຄຸນນະທຳ ທີ່ປຶກສາກົດໝາຍ ຈຳກັດ</t>
  </si>
  <si>
    <t>126321627-000</t>
  </si>
  <si>
    <t>Sisattanak District</t>
  </si>
  <si>
    <t>ບໍລິສັດ ພົມສຸພາແອນຊັນ ຈຳກັດ</t>
  </si>
  <si>
    <t>587445017-000</t>
  </si>
  <si>
    <t>Sikhottabong District</t>
  </si>
  <si>
    <t>ບໍລິສັດ ພູທອງ ທີ່ປຶກສາ ສຳຫຼວດບໍ່ແຮ່ ຈຳກັດຜູ້ດຽວ</t>
  </si>
  <si>
    <t>822868467-000</t>
  </si>
  <si>
    <t>ບໍລິສັດ ເຄ ແອນ ວີລີໂກ ຄາວໂຊລ ຈຳກັດຜູ້ດຽວ</t>
  </si>
  <si>
    <t>057258273-000</t>
  </si>
  <si>
    <t>ບໍລິສັດ ພີ ເຮັສ ແອວ ລໍ ຈຳກັດຜູ້ດຽວ</t>
  </si>
  <si>
    <t>773663486-000</t>
  </si>
  <si>
    <t>ບໍລິສັັດ ຈຽນຢີ່ ທີ່ປຶກສາ ຈຳກັດຜູ້ດຽວ</t>
  </si>
  <si>
    <t>210408429-000</t>
  </si>
  <si>
    <t>ສູນວິຊາຊີບ ຊີເອັມຊີ ຈຳກັດ</t>
  </si>
  <si>
    <t>588616406-900</t>
  </si>
  <si>
    <t>Hadxayfong District</t>
  </si>
  <si>
    <t>Education</t>
  </si>
  <si>
    <t>ໂຮງຮຽນລ້ຽງເດັກ ແລະ ອະນຸບານ ສີດາລາ</t>
  </si>
  <si>
    <t>087635121-000</t>
  </si>
  <si>
    <t>®ðìò¦ñ© Ä³³É¾ ນໍ້າ¤¼®3 ¥¿¡ñ©°øÉ©¼¸</t>
  </si>
  <si>
    <t>232280925-900</t>
  </si>
  <si>
    <t>Xiangkhouang</t>
  </si>
  <si>
    <t>Khoune District</t>
  </si>
  <si>
    <t>Energy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</si>
</sst>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11" x14ac:knownFonts="1">
    <font>
      <sz val="12"/>
      <color theme="1"/>
      <name val="Calibri"/>
      <scheme val="minor"/>
    </font>
    <font>
      <sz val="10"/>
      <color theme="1"/>
      <name val="Arial"/>
    </font>
    <font>
      <b/>
      <sz val="10"/>
      <color theme="1"/>
      <name val="Arial"/>
    </font>
    <font>
      <b/>
      <sz val="10"/>
      <color theme="1"/>
      <name val="Times New Roman"/>
    </font>
    <font>
      <b/>
      <sz val="8"/>
      <color theme="1"/>
      <name val="Arial"/>
    </font>
    <font>
      <b/>
      <sz val="8"/>
      <color indexed="64"/>
      <name val="Arial"/>
    </font>
    <font>
      <sz val="8"/>
      <color theme="1"/>
      <name val="Arial"/>
    </font>
    <font>
      <sz val="9"/>
      <color theme="1"/>
      <name val="Arial"/>
    </font>
    <font>
      <b/>
      <sz val="9"/>
      <color theme="1"/>
      <name val="Arial"/>
    </font>
    <font>
      <sz val="8"/>
      <color indexed="64"/>
      <name val="Arial"/>
    </font>
    <font>
      <sz val="12"/>
      <color theme="1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</patternFill>
    </fill>
    <fill>
      <patternFill patternType="solid">
        <fgColor theme="0" tint="-0.14996795556505021"/>
        <bgColor indexed="65"/>
      </patternFill>
    </fill>
    <fill>
      <patternFill patternType="solid">
        <fgColor indexed="5"/>
      </patternFill>
    </fill>
    <fill>
      <patternFill patternType="solid">
        <fgColor theme="3" tint="0.79995117038483843"/>
        <bgColor indexed="65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3">
    <xf numFmtId="0" fontId="0" fillId="0" borderId="0"/>
    <xf numFmtId="164" fontId="10" fillId="0" borderId="0" applyFont="0" applyFill="0" applyBorder="0" applyProtection="0"/>
    <xf numFmtId="9" fontId="10" fillId="0" borderId="0" applyFont="0" applyFill="0" applyBorder="0" applyProtection="0"/>
  </cellStyleXfs>
  <cellXfs count="52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64" fontId="1" fillId="0" borderId="0" xfId="1" applyFont="1" applyAlignment="1">
      <alignment vertical="center"/>
    </xf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4" fillId="3" borderId="1" xfId="0" applyNumberFormat="1" applyFont="1" applyFill="1" applyBorder="1" applyAlignment="1">
      <alignment horizontal="center" vertical="center" wrapText="1"/>
    </xf>
    <xf numFmtId="49" fontId="4" fillId="0" borderId="2" xfId="0" applyNumberFormat="1" applyFont="1" applyBorder="1" applyAlignment="1">
      <alignment horizontal="center" vertical="center" wrapText="1"/>
    </xf>
    <xf numFmtId="49" fontId="4" fillId="0" borderId="3" xfId="0" applyNumberFormat="1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164" fontId="4" fillId="3" borderId="1" xfId="1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6" fillId="0" borderId="4" xfId="0" applyFont="1" applyBorder="1" applyAlignment="1">
      <alignment vertical="center"/>
    </xf>
    <xf numFmtId="15" fontId="6" fillId="0" borderId="4" xfId="0" applyNumberFormat="1" applyFont="1" applyBorder="1" applyAlignment="1">
      <alignment horizontal="right" vertical="center"/>
    </xf>
    <xf numFmtId="49" fontId="6" fillId="0" borderId="0" xfId="0" applyNumberFormat="1" applyFont="1" applyAlignment="1">
      <alignment horizontal="left" vertical="center"/>
    </xf>
    <xf numFmtId="49" fontId="6" fillId="0" borderId="4" xfId="0" applyNumberFormat="1" applyFont="1" applyBorder="1" applyAlignment="1">
      <alignment horizontal="left" vertical="center"/>
    </xf>
    <xf numFmtId="0" fontId="6" fillId="0" borderId="4" xfId="0" applyFont="1" applyBorder="1"/>
    <xf numFmtId="165" fontId="6" fillId="0" borderId="4" xfId="1" applyNumberFormat="1" applyFont="1" applyBorder="1" applyAlignment="1">
      <alignment vertical="center"/>
    </xf>
    <xf numFmtId="165" fontId="6" fillId="0" borderId="4" xfId="1" applyNumberFormat="1" applyFont="1" applyBorder="1" applyAlignment="1">
      <alignment horizontal="center" vertical="center"/>
    </xf>
    <xf numFmtId="9" fontId="6" fillId="0" borderId="4" xfId="2" applyFont="1" applyBorder="1" applyAlignment="1">
      <alignment horizontal="center" vertical="center"/>
    </xf>
    <xf numFmtId="164" fontId="6" fillId="0" borderId="4" xfId="0" applyNumberFormat="1" applyFont="1" applyBorder="1" applyAlignment="1">
      <alignment vertical="center"/>
    </xf>
    <xf numFmtId="164" fontId="6" fillId="0" borderId="4" xfId="1" applyFont="1" applyBorder="1" applyAlignment="1">
      <alignment vertical="center"/>
    </xf>
    <xf numFmtId="165" fontId="6" fillId="0" borderId="4" xfId="0" applyNumberFormat="1" applyFont="1" applyBorder="1"/>
    <xf numFmtId="0" fontId="7" fillId="5" borderId="4" xfId="0" applyFont="1" applyFill="1" applyBorder="1" applyAlignment="1">
      <alignment horizontal="center"/>
    </xf>
    <xf numFmtId="0" fontId="8" fillId="4" borderId="4" xfId="0" applyFont="1" applyFill="1" applyBorder="1" applyAlignment="1">
      <alignment horizontal="center"/>
    </xf>
    <xf numFmtId="164" fontId="8" fillId="4" borderId="0" xfId="0" applyNumberFormat="1" applyFont="1" applyFill="1" applyAlignment="1">
      <alignment horizontal="center" vertical="center"/>
    </xf>
    <xf numFmtId="0" fontId="9" fillId="0" borderId="4" xfId="0" applyFont="1" applyBorder="1" applyAlignment="1">
      <alignment vertical="center"/>
    </xf>
    <xf numFmtId="0" fontId="6" fillId="0" borderId="4" xfId="0" applyFont="1" applyBorder="1" applyAlignment="1">
      <alignment horizontal="left" vertical="center"/>
    </xf>
    <xf numFmtId="1" fontId="6" fillId="0" borderId="4" xfId="1" applyNumberFormat="1" applyFont="1" applyBorder="1" applyAlignment="1">
      <alignment vertical="center"/>
    </xf>
    <xf numFmtId="1" fontId="6" fillId="0" borderId="4" xfId="0" applyNumberFormat="1" applyFont="1" applyBorder="1" applyAlignment="1">
      <alignment vertical="center"/>
    </xf>
    <xf numFmtId="0" fontId="1" fillId="0" borderId="5" xfId="0" applyFont="1" applyBorder="1"/>
    <xf numFmtId="0" fontId="6" fillId="0" borderId="6" xfId="0" applyFont="1" applyBorder="1" applyAlignment="1">
      <alignment vertical="center"/>
    </xf>
    <xf numFmtId="15" fontId="6" fillId="0" borderId="6" xfId="0" applyNumberFormat="1" applyFont="1" applyBorder="1" applyAlignment="1">
      <alignment horizontal="right" vertical="center"/>
    </xf>
    <xf numFmtId="49" fontId="6" fillId="0" borderId="6" xfId="0" applyNumberFormat="1" applyFont="1" applyBorder="1" applyAlignment="1">
      <alignment horizontal="left" vertical="center"/>
    </xf>
    <xf numFmtId="0" fontId="9" fillId="0" borderId="6" xfId="0" applyFont="1" applyBorder="1" applyAlignment="1">
      <alignment vertical="center"/>
    </xf>
    <xf numFmtId="0" fontId="6" fillId="0" borderId="6" xfId="0" applyFont="1" applyBorder="1"/>
    <xf numFmtId="165" fontId="6" fillId="0" borderId="6" xfId="1" applyNumberFormat="1" applyFont="1" applyBorder="1" applyAlignment="1">
      <alignment vertical="center"/>
    </xf>
    <xf numFmtId="165" fontId="6" fillId="0" borderId="6" xfId="1" applyNumberFormat="1" applyFont="1" applyBorder="1" applyAlignment="1">
      <alignment horizontal="center" vertical="center"/>
    </xf>
    <xf numFmtId="9" fontId="6" fillId="0" borderId="6" xfId="2" applyFont="1" applyBorder="1" applyAlignment="1">
      <alignment horizontal="center" vertical="center"/>
    </xf>
    <xf numFmtId="164" fontId="6" fillId="0" borderId="6" xfId="1" applyFont="1" applyBorder="1" applyAlignment="1">
      <alignment vertical="center"/>
    </xf>
    <xf numFmtId="165" fontId="6" fillId="0" borderId="6" xfId="0" applyNumberFormat="1" applyFont="1" applyBorder="1"/>
    <xf numFmtId="0" fontId="7" fillId="5" borderId="6" xfId="0" applyFont="1" applyFill="1" applyBorder="1" applyAlignment="1">
      <alignment horizontal="center"/>
    </xf>
    <xf numFmtId="0" fontId="8" fillId="4" borderId="6" xfId="0" applyFont="1" applyFill="1" applyBorder="1" applyAlignment="1">
      <alignment horizontal="center"/>
    </xf>
    <xf numFmtId="164" fontId="8" fillId="4" borderId="7" xfId="0" applyNumberFormat="1" applyFont="1" applyFill="1" applyBorder="1" applyAlignment="1">
      <alignment horizontal="center" vertical="center"/>
    </xf>
    <xf numFmtId="165" fontId="1" fillId="0" borderId="0" xfId="1" applyNumberFormat="1" applyFont="1" applyAlignment="1">
      <alignment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tabColor theme="1"/>
  </sheetPr>
  <dimension ref="A1:BO249"/>
  <sheetViews>
    <sheetView tabSelected="1" zoomScale="156" workbookViewId="0">
      <pane xSplit="4" ySplit="1" topLeftCell="Q2" activePane="bottomRight" state="frozen"/>
      <selection activeCell="B3" sqref="B3"/>
      <selection pane="topRight"/>
      <selection pane="bottomLeft"/>
      <selection pane="bottomRight" activeCell="AL12" sqref="AL12"/>
    </sheetView>
  </sheetViews>
  <sheetFormatPr defaultColWidth="10.875" defaultRowHeight="12.75" x14ac:dyDescent="0.2"/>
  <cols>
    <col min="1" max="1" width="5.125" style="2" customWidth="1"/>
    <col min="2" max="2" width="16.375" style="2" customWidth="1"/>
    <col min="3" max="3" width="30.625" style="2" bestFit="1" customWidth="1"/>
    <col min="4" max="4" width="14.125" style="2" customWidth="1"/>
    <col min="5" max="5" width="19.375" style="2" customWidth="1"/>
    <col min="6" max="6" width="14.875" style="2" customWidth="1"/>
    <col min="7" max="7" width="7.625" style="2" customWidth="1"/>
    <col min="8" max="8" width="7.125" style="3" customWidth="1"/>
    <col min="9" max="9" width="7" style="3" customWidth="1"/>
    <col min="10" max="10" width="9.375" style="2" customWidth="1"/>
    <col min="11" max="13" width="12.875" style="4" customWidth="1"/>
    <col min="14" max="14" width="10.125" style="4" customWidth="1"/>
    <col min="15" max="15" width="17.5" style="5" customWidth="1"/>
    <col min="16" max="16" width="10.5" style="5" customWidth="1"/>
    <col min="17" max="17" width="11.5" style="4" customWidth="1"/>
    <col min="18" max="18" width="11.125" style="6" customWidth="1"/>
    <col min="19" max="19" width="7.875" style="6" customWidth="1"/>
    <col min="20" max="20" width="10.875" style="1"/>
    <col min="21" max="21" width="10.125" style="1" customWidth="1"/>
    <col min="22" max="22" width="18.125" style="1" customWidth="1"/>
    <col min="23" max="24" width="10.875" style="1"/>
    <col min="25" max="25" width="23.375" style="1" customWidth="1"/>
    <col min="26" max="27" width="15" style="1" customWidth="1"/>
    <col min="28" max="28" width="15.875" style="1" customWidth="1"/>
    <col min="29" max="44" width="10.875" style="1"/>
    <col min="45" max="46" width="5.125" style="7" customWidth="1"/>
    <col min="47" max="48" width="8" style="7" customWidth="1"/>
    <col min="49" max="51" width="5.125" style="7" customWidth="1"/>
    <col min="52" max="52" width="8" style="7" customWidth="1"/>
    <col min="53" max="65" width="5.125" style="7" customWidth="1"/>
    <col min="66" max="66" width="10.625" style="8" customWidth="1"/>
    <col min="67" max="67" width="14.625" style="9" customWidth="1"/>
    <col min="68" max="16384" width="10.875" style="1"/>
  </cols>
  <sheetData>
    <row r="1" spans="1:67" s="10" customFormat="1" ht="67.5" x14ac:dyDescent="0.25">
      <c r="A1" s="11" t="s">
        <v>0</v>
      </c>
      <c r="B1" s="11" t="s">
        <v>1</v>
      </c>
      <c r="C1" s="12" t="s">
        <v>2</v>
      </c>
      <c r="D1" s="13" t="s">
        <v>3</v>
      </c>
      <c r="E1" s="11" t="s">
        <v>4</v>
      </c>
      <c r="F1" s="11" t="s">
        <v>5</v>
      </c>
      <c r="G1" s="14" t="s">
        <v>6</v>
      </c>
      <c r="H1" s="14" t="s">
        <v>7</v>
      </c>
      <c r="I1" s="14" t="s">
        <v>8</v>
      </c>
      <c r="J1" s="11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 t="s">
        <v>15</v>
      </c>
      <c r="Q1" s="14" t="s">
        <v>16</v>
      </c>
      <c r="R1" s="15" t="s">
        <v>17</v>
      </c>
      <c r="S1" s="16" t="s">
        <v>18</v>
      </c>
      <c r="T1" s="16" t="s">
        <v>19</v>
      </c>
      <c r="U1" s="16" t="s">
        <v>20</v>
      </c>
      <c r="V1" s="16" t="s">
        <v>21</v>
      </c>
      <c r="W1" s="16" t="s">
        <v>22</v>
      </c>
      <c r="X1" s="16" t="s">
        <v>23</v>
      </c>
      <c r="Y1" s="16" t="s">
        <v>24</v>
      </c>
      <c r="Z1" s="16" t="s">
        <v>25</v>
      </c>
      <c r="AA1" s="16" t="s">
        <v>26</v>
      </c>
      <c r="AB1" s="16" t="s">
        <v>27</v>
      </c>
      <c r="AC1" s="16" t="s">
        <v>28</v>
      </c>
      <c r="AD1" s="16" t="s">
        <v>29</v>
      </c>
      <c r="AE1" s="16" t="s">
        <v>30</v>
      </c>
      <c r="AF1" s="16" t="s">
        <v>31</v>
      </c>
      <c r="AG1" s="16" t="s">
        <v>32</v>
      </c>
      <c r="AH1" s="16" t="s">
        <v>33</v>
      </c>
      <c r="AI1" s="16" t="s">
        <v>34</v>
      </c>
      <c r="AJ1" s="16" t="s">
        <v>35</v>
      </c>
      <c r="AK1" s="16" t="s">
        <v>36</v>
      </c>
      <c r="AL1" s="16" t="s">
        <v>37</v>
      </c>
      <c r="AM1" s="16" t="s">
        <v>38</v>
      </c>
      <c r="AN1" s="16" t="s">
        <v>39</v>
      </c>
      <c r="AO1" s="16" t="s">
        <v>40</v>
      </c>
      <c r="AP1" s="16" t="s">
        <v>41</v>
      </c>
      <c r="AQ1" s="16" t="s">
        <v>42</v>
      </c>
      <c r="AR1" s="16" t="s">
        <v>43</v>
      </c>
      <c r="AS1" s="14" t="s">
        <v>44</v>
      </c>
      <c r="AT1" s="14" t="s">
        <v>45</v>
      </c>
      <c r="AU1" s="14" t="s">
        <v>46</v>
      </c>
      <c r="AV1" s="14" t="s">
        <v>47</v>
      </c>
      <c r="AW1" s="14" t="s">
        <v>48</v>
      </c>
      <c r="AX1" s="14" t="s">
        <v>49</v>
      </c>
      <c r="AY1" s="14" t="s">
        <v>50</v>
      </c>
      <c r="AZ1" s="14" t="s">
        <v>51</v>
      </c>
      <c r="BA1" s="14" t="s">
        <v>52</v>
      </c>
      <c r="BB1" s="14" t="s">
        <v>53</v>
      </c>
      <c r="BC1" s="14" t="s">
        <v>54</v>
      </c>
      <c r="BD1" s="14" t="s">
        <v>55</v>
      </c>
      <c r="BE1" s="14" t="s">
        <v>56</v>
      </c>
      <c r="BF1" s="14" t="s">
        <v>57</v>
      </c>
      <c r="BG1" s="14" t="s">
        <v>58</v>
      </c>
      <c r="BH1" s="14" t="s">
        <v>59</v>
      </c>
      <c r="BI1" s="14" t="s">
        <v>60</v>
      </c>
      <c r="BJ1" s="14" t="s">
        <v>61</v>
      </c>
      <c r="BK1" s="14" t="s">
        <v>62</v>
      </c>
      <c r="BL1" s="14" t="s">
        <v>63</v>
      </c>
      <c r="BM1" s="14" t="s">
        <v>64</v>
      </c>
      <c r="BN1" s="17" t="s">
        <v>65</v>
      </c>
      <c r="BO1" s="18" t="s">
        <v>66</v>
      </c>
    </row>
    <row r="2" spans="1:67" x14ac:dyDescent="0.2">
      <c r="A2" s="19">
        <v>2021</v>
      </c>
      <c r="B2" s="20">
        <v>41899</v>
      </c>
      <c r="C2" s="21" t="s">
        <v>67</v>
      </c>
      <c r="D2" s="21" t="s">
        <v>68</v>
      </c>
      <c r="E2" s="22" t="s">
        <v>69</v>
      </c>
      <c r="F2" s="22" t="s">
        <v>70</v>
      </c>
      <c r="G2" s="19">
        <f>IF(ISNUMBER(MATCH(F2,#REF!,0)),1,0)</f>
        <v>0</v>
      </c>
      <c r="H2" s="23">
        <f>IF(ISNUMBER(MATCH(F2,#REF!,0)),1,0)</f>
        <v>0</v>
      </c>
      <c r="I2" s="23"/>
      <c r="J2" s="22" t="s">
        <v>71</v>
      </c>
      <c r="K2" s="24">
        <v>200000000</v>
      </c>
      <c r="L2" s="24">
        <v>80000000</v>
      </c>
      <c r="M2" s="24">
        <f t="shared" ref="M2:M18" si="0">K2-L2</f>
        <v>120000000</v>
      </c>
      <c r="N2" s="24"/>
      <c r="O2" s="25">
        <v>2000000</v>
      </c>
      <c r="P2" s="26">
        <f t="shared" ref="P2:P22" si="1">IF(A2=2022,0.2,IF(J2="Mining",0.35,(IF(A2&lt;2020,0.24,0.2))))</f>
        <v>0.2</v>
      </c>
      <c r="Q2" s="27">
        <f t="shared" ref="Q2:Q22" si="2">IF(AND(M2&gt;=0,N2&gt;=0),(M2+N2)*P2,"")</f>
        <v>24000000</v>
      </c>
      <c r="R2" s="28">
        <f t="shared" ref="R2:R22" si="3">IF(AND(M2&gt;=0,O2&lt;=Q2),Q2-O2,"")</f>
        <v>22000000</v>
      </c>
      <c r="S2" s="28"/>
      <c r="T2" s="20">
        <v>44927</v>
      </c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>
        <v>1</v>
      </c>
      <c r="AM2" s="23"/>
      <c r="AN2" s="29">
        <f t="shared" ref="AN2:AN11" si="4">N2</f>
        <v>0</v>
      </c>
      <c r="AO2" s="23">
        <v>1.2</v>
      </c>
      <c r="AP2" s="23">
        <v>2.5</v>
      </c>
      <c r="AQ2" s="23">
        <v>15</v>
      </c>
      <c r="AR2" s="23"/>
      <c r="AS2" s="30" t="str">
        <f t="shared" ref="AS2:AS22" ca="1" si="5">IF(AND(AQ2&gt;=6,AQ2&lt;=50,AO2&lt;=1.5,AP2&lt;=3,TODAY()-T2&lt;=1095),1,"")</f>
        <v/>
      </c>
      <c r="AT2" s="30" t="str">
        <f t="shared" ref="AT2:AT22" ca="1" si="6">IF(AND(AQ2&gt;=51,AQ2&lt;=99,AO2&lt;=6,AP2&lt;=6,TODAY()-T2&lt;=1095),2,"")</f>
        <v/>
      </c>
      <c r="AU2" s="30" t="str">
        <f t="shared" ref="AU2:AU22" ca="1" si="7">IF(AND(U2=1,TODAY()&gt;EDATE(B2,S2*12)),3,"")</f>
        <v/>
      </c>
      <c r="AV2" s="30" t="str">
        <f t="shared" ref="AV2:AV22" ca="1" si="8">IF(AND(V2=1,TODAY()&gt;EDATE(B2,S2*12)),4,"")</f>
        <v/>
      </c>
      <c r="AW2" s="30" t="str">
        <f t="shared" ref="AW2:AW22" ca="1" si="9">IF(AND(ISNUMBER(AR2),TODAY()&lt;=EDATE(AR2,48)),5,"")</f>
        <v/>
      </c>
      <c r="AX2" s="30">
        <f t="shared" ref="AX2:AX22" si="10">IF(AND(AQ2&gt;=6,AQ2&lt;=50,AO2&lt;=1.5,AP2&lt;=3,AL2=1),6,"")</f>
        <v>6</v>
      </c>
      <c r="AY2" s="30" t="str">
        <f t="shared" ref="AY2:AY22" ca="1" si="11">IF(AND(G2=1,OR(AC2=1,AF2=1,AI2=1,AJ2=1,AK2=1),TODAY()&lt;=EDATE(B2,120)),7,"")</f>
        <v/>
      </c>
      <c r="AZ2" s="30" t="str">
        <f t="shared" ref="AZ2:AZ22" ca="1" si="12">IF(AND(H2=1,OR(AC2=1,AF2=1,AI2=1,AJ2=1,AK2=1),TODAY()&lt;=EDATE(B2,48)),8,"")</f>
        <v/>
      </c>
      <c r="BA2" s="30" t="str">
        <f t="shared" ref="BA2:BA22" ca="1" si="13">IF(AND(ISNUMBER(AM2),AN2&gt;0,TODAY()&lt;=EDATE(AM2,12)),9,"")</f>
        <v/>
      </c>
      <c r="BB2" s="30" t="str">
        <f t="shared" ref="BB2:BB22" ca="1" si="14">IF(AND(G2=1,OR(AD2=1,AE2=1,AG2=1,AH2=1),TODAY()&lt;=EDATE(B2,180)),10,"")</f>
        <v/>
      </c>
      <c r="BC2" s="30" t="str">
        <f t="shared" ref="BC2:BC22" ca="1" si="15">IF(AND(H2=1,OR(AD2=1,AE2=1,AG2=1,AH2=1),TODAY()&lt;=EDATE(B2,112)),11,"")</f>
        <v/>
      </c>
      <c r="BD2" s="30" t="str">
        <f t="shared" ref="BD2:BD22" ca="1" si="16">IF(AND(G2=1,W2=1,Y2=1,TODAY()&lt;=EDATE(B2,192)),12,"")</f>
        <v/>
      </c>
      <c r="BE2" s="30" t="str">
        <f t="shared" ref="BE2:BE22" ca="1" si="17">IF(AND(G2=1,W2=1,Y2=1,TODAY()&gt;EDATE(B2,192),TODAY()&lt;=EDATE(B2,252)),13,"")</f>
        <v/>
      </c>
      <c r="BF2" s="30" t="str">
        <f t="shared" ref="BF2:BF22" ca="1" si="18">IF(AND(H2=1,W2=1,Y2=1,TODAY()&lt;=EDATE(B2,96)),14,"")</f>
        <v/>
      </c>
      <c r="BG2" s="30" t="str">
        <f t="shared" ref="BG2:BG22" ca="1" si="19">IF(AND(H2=1,W2=1,Y2=1,TODAY()&gt;EDATE(B2,96),TODAY()&lt;=EDATE(B2,156)),15,"")</f>
        <v/>
      </c>
      <c r="BH2" s="30" t="str">
        <f t="shared" ref="BH2:BH22" ca="1" si="20">IF(OR(AND(G2=1,X2=1,OR(AC2=1,AF2=1,AI2=1,AJ2=1,AK2=1),TODAY()&lt;=EDATE(B2,12*12)),AND(H2=1,X2=1,OR(AC2=1,AF2=1,AI2=1,AJ2=1,AK2=1),TODAY()&lt;=EDATE(B2,12*6)),AND(G2=1,X2=1,OR(AD2=1,AE2=1,AG2=1,AH2=1),TODAY()&lt;=EDATE(B2,12*17)),AND(H2=1,X2=1,OR(AD2=1,AE2=1,AG2=1,AH2=1),TODAY()&lt;=EDATE(B2,12*9))),16,"")</f>
        <v/>
      </c>
      <c r="BI2" s="30" t="str">
        <f t="shared" ref="BI2:BI22" ca="1" si="21">IF(OR(AND(G2=1,X2=1,OR(AE2=1,AG2=1,AH2=1),TODAY()&gt;EDATE(B2,12*17),TODAY()&lt;=EDATE(B2,12*22)),AND(H2=1,X2=1,OR(AE2=1,AG2=1,AH2=1),TODAY()&gt;EDATE(B2,12*9),TODAY()&lt;=EDATE(B2,12*14)),AND(G2=1,X2=1,AF2=1,TODAY()&gt;EDATE(B2,12*12),TODAY()&lt;=EDATE(B2,12*17)),AND(H2=1,X2=1,AF2=1,TODAY()&gt;EDATE(B2,12*6),TODAY()&lt;=EDATE(B2,12*11))),17,"")</f>
        <v/>
      </c>
      <c r="BJ2" s="30" t="str">
        <f t="shared" ref="BJ2:BJ22" si="22">IF(Z2=1,18,"")</f>
        <v/>
      </c>
      <c r="BK2" s="30" t="str">
        <f t="shared" ref="BK2:BK22" si="23">IF(AA2=1,19,"")</f>
        <v/>
      </c>
      <c r="BL2" s="30" t="str">
        <f t="shared" ref="BL2:BL22" si="24">IF(AB2=1,20,"")</f>
        <v/>
      </c>
      <c r="BM2" s="30" t="str">
        <f t="shared" ref="BM2:BM22" ca="1" si="25">IF(AND(R2&gt;0,COUNT(AS2:BL2)=0),"Other","")</f>
        <v/>
      </c>
      <c r="BN2" s="31" t="str">
        <f t="shared" ref="BN2:BN19" ca="1" si="26">IF(COUNTA(AS2:BM2)&gt;0,_xlfn.TEXTJOIN(", ",TRUE,AS2:BM2),"")</f>
        <v>6</v>
      </c>
      <c r="BO2" s="32">
        <f t="shared" ref="BO2:BO22" si="27">R2</f>
        <v>22000000</v>
      </c>
    </row>
    <row r="3" spans="1:67" x14ac:dyDescent="0.2">
      <c r="A3" s="19">
        <v>2020</v>
      </c>
      <c r="B3" s="20">
        <v>42995</v>
      </c>
      <c r="C3" s="21" t="s">
        <v>67</v>
      </c>
      <c r="D3" s="21" t="s">
        <v>68</v>
      </c>
      <c r="E3" s="22" t="s">
        <v>69</v>
      </c>
      <c r="F3" s="22" t="s">
        <v>70</v>
      </c>
      <c r="G3" s="19">
        <f>IF(ISNUMBER(MATCH(F3,#REF!,0)),1,0)</f>
        <v>0</v>
      </c>
      <c r="H3" s="23">
        <f>IF(ISNUMBER(MATCH(F3,#REF!,0)),1,0)</f>
        <v>0</v>
      </c>
      <c r="I3" s="23"/>
      <c r="J3" s="22" t="s">
        <v>71</v>
      </c>
      <c r="K3" s="24">
        <v>128000000</v>
      </c>
      <c r="L3" s="24">
        <v>89000000</v>
      </c>
      <c r="M3" s="24">
        <f t="shared" si="0"/>
        <v>39000000</v>
      </c>
      <c r="N3" s="24"/>
      <c r="O3" s="25">
        <v>2500000</v>
      </c>
      <c r="P3" s="26">
        <f t="shared" si="1"/>
        <v>0.2</v>
      </c>
      <c r="Q3" s="27">
        <f t="shared" si="2"/>
        <v>7800000</v>
      </c>
      <c r="R3" s="28">
        <f t="shared" si="3"/>
        <v>5300000</v>
      </c>
      <c r="S3" s="28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>
        <v>1</v>
      </c>
      <c r="AJ3" s="23"/>
      <c r="AK3" s="23"/>
      <c r="AL3" s="23">
        <v>1</v>
      </c>
      <c r="AM3" s="23"/>
      <c r="AN3" s="29">
        <f t="shared" si="4"/>
        <v>0</v>
      </c>
      <c r="AO3" s="23"/>
      <c r="AP3" s="23"/>
      <c r="AQ3" s="23"/>
      <c r="AR3" s="23"/>
      <c r="AS3" s="30" t="str">
        <f t="shared" ca="1" si="5"/>
        <v/>
      </c>
      <c r="AT3" s="30" t="str">
        <f t="shared" ca="1" si="6"/>
        <v/>
      </c>
      <c r="AU3" s="30" t="str">
        <f t="shared" ca="1" si="7"/>
        <v/>
      </c>
      <c r="AV3" s="30" t="str">
        <f t="shared" ca="1" si="8"/>
        <v/>
      </c>
      <c r="AW3" s="30" t="str">
        <f t="shared" ca="1" si="9"/>
        <v/>
      </c>
      <c r="AX3" s="30" t="str">
        <f t="shared" si="10"/>
        <v/>
      </c>
      <c r="AY3" s="30" t="str">
        <f t="shared" ca="1" si="11"/>
        <v/>
      </c>
      <c r="AZ3" s="30" t="str">
        <f t="shared" ca="1" si="12"/>
        <v/>
      </c>
      <c r="BA3" s="30" t="str">
        <f t="shared" ca="1" si="13"/>
        <v/>
      </c>
      <c r="BB3" s="30" t="str">
        <f t="shared" ca="1" si="14"/>
        <v/>
      </c>
      <c r="BC3" s="30" t="str">
        <f t="shared" ca="1" si="15"/>
        <v/>
      </c>
      <c r="BD3" s="30" t="str">
        <f t="shared" ca="1" si="16"/>
        <v/>
      </c>
      <c r="BE3" s="30" t="str">
        <f t="shared" ca="1" si="17"/>
        <v/>
      </c>
      <c r="BF3" s="30" t="str">
        <f t="shared" ca="1" si="18"/>
        <v/>
      </c>
      <c r="BG3" s="30" t="str">
        <f t="shared" ca="1" si="19"/>
        <v/>
      </c>
      <c r="BH3" s="30" t="str">
        <f t="shared" ca="1" si="20"/>
        <v/>
      </c>
      <c r="BI3" s="30" t="str">
        <f t="shared" ca="1" si="21"/>
        <v/>
      </c>
      <c r="BJ3" s="30" t="str">
        <f t="shared" si="22"/>
        <v/>
      </c>
      <c r="BK3" s="30" t="str">
        <f t="shared" si="23"/>
        <v/>
      </c>
      <c r="BL3" s="30" t="str">
        <f t="shared" si="24"/>
        <v/>
      </c>
      <c r="BM3" s="30" t="str">
        <f t="shared" ca="1" si="25"/>
        <v>Other</v>
      </c>
      <c r="BN3" s="31" t="str">
        <f t="shared" ca="1" si="26"/>
        <v>Other</v>
      </c>
      <c r="BO3" s="32">
        <f t="shared" si="27"/>
        <v>5300000</v>
      </c>
    </row>
    <row r="4" spans="1:67" x14ac:dyDescent="0.2">
      <c r="A4" s="19">
        <v>2018</v>
      </c>
      <c r="B4" s="20">
        <v>42934</v>
      </c>
      <c r="C4" s="21" t="s">
        <v>72</v>
      </c>
      <c r="D4" s="21" t="s">
        <v>73</v>
      </c>
      <c r="E4" s="22" t="s">
        <v>74</v>
      </c>
      <c r="F4" s="33" t="s">
        <v>75</v>
      </c>
      <c r="G4" s="19">
        <f>IF(ISNUMBER(MATCH(F4,#REF!,0)),1,0)</f>
        <v>0</v>
      </c>
      <c r="H4" s="23">
        <f>IF(ISNUMBER(MATCH(F4,#REF!,0)),1,0)</f>
        <v>0</v>
      </c>
      <c r="I4" s="23"/>
      <c r="J4" s="22" t="s">
        <v>71</v>
      </c>
      <c r="K4" s="24">
        <v>45000000</v>
      </c>
      <c r="L4" s="24">
        <v>52000000</v>
      </c>
      <c r="M4" s="24">
        <f t="shared" si="0"/>
        <v>-7000000</v>
      </c>
      <c r="N4" s="24"/>
      <c r="O4" s="25"/>
      <c r="P4" s="26">
        <f t="shared" si="1"/>
        <v>0.24</v>
      </c>
      <c r="Q4" s="27" t="str">
        <f t="shared" si="2"/>
        <v/>
      </c>
      <c r="R4" s="28" t="str">
        <f t="shared" si="3"/>
        <v/>
      </c>
      <c r="S4" s="28"/>
      <c r="T4" s="20">
        <v>44835</v>
      </c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>
        <v>1</v>
      </c>
      <c r="AM4" s="23"/>
      <c r="AN4" s="29">
        <f t="shared" si="4"/>
        <v>0</v>
      </c>
      <c r="AO4" s="23">
        <v>5.8</v>
      </c>
      <c r="AP4" s="23">
        <v>4.5</v>
      </c>
      <c r="AQ4" s="23">
        <v>65</v>
      </c>
      <c r="AR4" s="23"/>
      <c r="AS4" s="30" t="str">
        <f t="shared" ca="1" si="5"/>
        <v/>
      </c>
      <c r="AT4" s="30" t="str">
        <f t="shared" ca="1" si="6"/>
        <v/>
      </c>
      <c r="AU4" s="30" t="str">
        <f t="shared" ca="1" si="7"/>
        <v/>
      </c>
      <c r="AV4" s="30" t="str">
        <f t="shared" ca="1" si="8"/>
        <v/>
      </c>
      <c r="AW4" s="30" t="str">
        <f t="shared" ca="1" si="9"/>
        <v/>
      </c>
      <c r="AX4" s="30" t="str">
        <f t="shared" si="10"/>
        <v/>
      </c>
      <c r="AY4" s="30" t="str">
        <f t="shared" ca="1" si="11"/>
        <v/>
      </c>
      <c r="AZ4" s="30" t="str">
        <f t="shared" ca="1" si="12"/>
        <v/>
      </c>
      <c r="BA4" s="30" t="str">
        <f t="shared" ca="1" si="13"/>
        <v/>
      </c>
      <c r="BB4" s="30" t="str">
        <f t="shared" ca="1" si="14"/>
        <v/>
      </c>
      <c r="BC4" s="30" t="str">
        <f t="shared" ca="1" si="15"/>
        <v/>
      </c>
      <c r="BD4" s="30" t="str">
        <f t="shared" ca="1" si="16"/>
        <v/>
      </c>
      <c r="BE4" s="30" t="str">
        <f t="shared" ca="1" si="17"/>
        <v/>
      </c>
      <c r="BF4" s="30" t="str">
        <f t="shared" ca="1" si="18"/>
        <v/>
      </c>
      <c r="BG4" s="30" t="str">
        <f t="shared" ca="1" si="19"/>
        <v/>
      </c>
      <c r="BH4" s="30" t="str">
        <f t="shared" ca="1" si="20"/>
        <v/>
      </c>
      <c r="BI4" s="30" t="str">
        <f t="shared" ca="1" si="21"/>
        <v/>
      </c>
      <c r="BJ4" s="30" t="str">
        <f t="shared" si="22"/>
        <v/>
      </c>
      <c r="BK4" s="30" t="str">
        <f t="shared" si="23"/>
        <v/>
      </c>
      <c r="BL4" s="30" t="str">
        <f t="shared" si="24"/>
        <v/>
      </c>
      <c r="BM4" s="30" t="str">
        <f t="shared" ca="1" si="25"/>
        <v>Other</v>
      </c>
      <c r="BN4" s="31" t="str">
        <f t="shared" ca="1" si="26"/>
        <v>Other</v>
      </c>
      <c r="BO4" s="32" t="str">
        <f t="shared" si="27"/>
        <v/>
      </c>
    </row>
    <row r="5" spans="1:67" x14ac:dyDescent="0.2">
      <c r="A5" s="19">
        <v>2019</v>
      </c>
      <c r="B5" s="20">
        <v>41479</v>
      </c>
      <c r="C5" s="21" t="s">
        <v>76</v>
      </c>
      <c r="D5" s="21" t="s">
        <v>77</v>
      </c>
      <c r="E5" s="19" t="s">
        <v>78</v>
      </c>
      <c r="F5" s="34"/>
      <c r="G5" s="19">
        <f>IF(ISNUMBER(MATCH(F5,#REF!,0)),1,0)</f>
        <v>0</v>
      </c>
      <c r="H5" s="23">
        <f>IF(ISNUMBER(MATCH(F5,#REF!,0)),1,0)</f>
        <v>0</v>
      </c>
      <c r="I5" s="23"/>
      <c r="J5" s="22" t="s">
        <v>71</v>
      </c>
      <c r="K5" s="24">
        <v>0</v>
      </c>
      <c r="L5" s="24">
        <v>500000</v>
      </c>
      <c r="M5" s="24">
        <f t="shared" si="0"/>
        <v>-500000</v>
      </c>
      <c r="N5" s="24"/>
      <c r="O5" s="25"/>
      <c r="P5" s="26">
        <f t="shared" si="1"/>
        <v>0.24</v>
      </c>
      <c r="Q5" s="27" t="str">
        <f t="shared" si="2"/>
        <v/>
      </c>
      <c r="R5" s="28" t="str">
        <f t="shared" si="3"/>
        <v/>
      </c>
      <c r="S5" s="35">
        <v>10</v>
      </c>
      <c r="T5" s="23"/>
      <c r="U5" s="36">
        <v>1</v>
      </c>
      <c r="V5" s="36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>
        <v>1</v>
      </c>
      <c r="AM5" s="23"/>
      <c r="AN5" s="29">
        <f t="shared" si="4"/>
        <v>0</v>
      </c>
      <c r="AO5" s="23"/>
      <c r="AP5" s="23"/>
      <c r="AQ5" s="23"/>
      <c r="AR5" s="23"/>
      <c r="AS5" s="30" t="str">
        <f t="shared" ca="1" si="5"/>
        <v/>
      </c>
      <c r="AT5" s="30" t="str">
        <f t="shared" ca="1" si="6"/>
        <v/>
      </c>
      <c r="AU5" s="30">
        <f t="shared" ca="1" si="7"/>
        <v>3</v>
      </c>
      <c r="AV5" s="30" t="str">
        <f t="shared" ca="1" si="8"/>
        <v/>
      </c>
      <c r="AW5" s="30" t="str">
        <f t="shared" ca="1" si="9"/>
        <v/>
      </c>
      <c r="AX5" s="30" t="str">
        <f t="shared" si="10"/>
        <v/>
      </c>
      <c r="AY5" s="30" t="str">
        <f t="shared" ca="1" si="11"/>
        <v/>
      </c>
      <c r="AZ5" s="30" t="str">
        <f t="shared" ca="1" si="12"/>
        <v/>
      </c>
      <c r="BA5" s="30" t="str">
        <f t="shared" ca="1" si="13"/>
        <v/>
      </c>
      <c r="BB5" s="30" t="str">
        <f t="shared" ca="1" si="14"/>
        <v/>
      </c>
      <c r="BC5" s="30" t="str">
        <f t="shared" ca="1" si="15"/>
        <v/>
      </c>
      <c r="BD5" s="30" t="str">
        <f t="shared" ca="1" si="16"/>
        <v/>
      </c>
      <c r="BE5" s="30" t="str">
        <f t="shared" ca="1" si="17"/>
        <v/>
      </c>
      <c r="BF5" s="30" t="str">
        <f t="shared" ca="1" si="18"/>
        <v/>
      </c>
      <c r="BG5" s="30" t="str">
        <f t="shared" ca="1" si="19"/>
        <v/>
      </c>
      <c r="BH5" s="30" t="str">
        <f t="shared" ca="1" si="20"/>
        <v/>
      </c>
      <c r="BI5" s="30" t="str">
        <f t="shared" ca="1" si="21"/>
        <v/>
      </c>
      <c r="BJ5" s="30" t="str">
        <f t="shared" si="22"/>
        <v/>
      </c>
      <c r="BK5" s="30" t="str">
        <f t="shared" si="23"/>
        <v/>
      </c>
      <c r="BL5" s="30" t="str">
        <f t="shared" si="24"/>
        <v/>
      </c>
      <c r="BM5" s="30" t="str">
        <f t="shared" ca="1" si="25"/>
        <v/>
      </c>
      <c r="BN5" s="31" t="str">
        <f t="shared" ca="1" si="26"/>
        <v>3</v>
      </c>
      <c r="BO5" s="32" t="str">
        <f t="shared" si="27"/>
        <v/>
      </c>
    </row>
    <row r="6" spans="1:67" x14ac:dyDescent="0.2">
      <c r="A6" s="19">
        <v>2018</v>
      </c>
      <c r="B6" s="20">
        <v>40843</v>
      </c>
      <c r="C6" s="21" t="s">
        <v>79</v>
      </c>
      <c r="D6" s="21" t="s">
        <v>80</v>
      </c>
      <c r="E6" s="22" t="s">
        <v>81</v>
      </c>
      <c r="F6" s="33" t="s">
        <v>82</v>
      </c>
      <c r="G6" s="19">
        <f>IF(ISNUMBER(MATCH(F6,#REF!,0)),1,0)</f>
        <v>0</v>
      </c>
      <c r="H6" s="23">
        <f>IF(ISNUMBER(MATCH(F6,#REF!,0)),1,0)</f>
        <v>0</v>
      </c>
      <c r="I6" s="23"/>
      <c r="J6" s="22" t="s">
        <v>71</v>
      </c>
      <c r="K6" s="24">
        <v>92000000</v>
      </c>
      <c r="L6" s="24">
        <v>7500000</v>
      </c>
      <c r="M6" s="24">
        <f t="shared" si="0"/>
        <v>84500000</v>
      </c>
      <c r="N6" s="24"/>
      <c r="O6" s="25">
        <v>19500000</v>
      </c>
      <c r="P6" s="26">
        <f t="shared" si="1"/>
        <v>0.24</v>
      </c>
      <c r="Q6" s="27">
        <f t="shared" si="2"/>
        <v>20280000</v>
      </c>
      <c r="R6" s="28">
        <f t="shared" si="3"/>
        <v>780000</v>
      </c>
      <c r="S6" s="35">
        <v>10</v>
      </c>
      <c r="T6" s="23"/>
      <c r="U6" s="23"/>
      <c r="V6" s="23">
        <v>1</v>
      </c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>
        <v>1</v>
      </c>
      <c r="AM6" s="23"/>
      <c r="AN6" s="29">
        <f t="shared" si="4"/>
        <v>0</v>
      </c>
      <c r="AO6" s="23"/>
      <c r="AP6" s="23"/>
      <c r="AQ6" s="23"/>
      <c r="AR6" s="23"/>
      <c r="AS6" s="30" t="str">
        <f t="shared" ca="1" si="5"/>
        <v/>
      </c>
      <c r="AT6" s="30" t="str">
        <f t="shared" ca="1" si="6"/>
        <v/>
      </c>
      <c r="AU6" s="30" t="str">
        <f t="shared" ca="1" si="7"/>
        <v/>
      </c>
      <c r="AV6" s="30">
        <f t="shared" ca="1" si="8"/>
        <v>4</v>
      </c>
      <c r="AW6" s="30" t="str">
        <f t="shared" ca="1" si="9"/>
        <v/>
      </c>
      <c r="AX6" s="30" t="str">
        <f t="shared" si="10"/>
        <v/>
      </c>
      <c r="AY6" s="30" t="str">
        <f t="shared" ca="1" si="11"/>
        <v/>
      </c>
      <c r="AZ6" s="30" t="str">
        <f t="shared" ca="1" si="12"/>
        <v/>
      </c>
      <c r="BA6" s="30" t="str">
        <f t="shared" ca="1" si="13"/>
        <v/>
      </c>
      <c r="BB6" s="30" t="str">
        <f t="shared" ca="1" si="14"/>
        <v/>
      </c>
      <c r="BC6" s="30" t="str">
        <f t="shared" ca="1" si="15"/>
        <v/>
      </c>
      <c r="BD6" s="30" t="str">
        <f t="shared" ca="1" si="16"/>
        <v/>
      </c>
      <c r="BE6" s="30" t="str">
        <f t="shared" ca="1" si="17"/>
        <v/>
      </c>
      <c r="BF6" s="30" t="str">
        <f t="shared" ca="1" si="18"/>
        <v/>
      </c>
      <c r="BG6" s="30" t="str">
        <f t="shared" ca="1" si="19"/>
        <v/>
      </c>
      <c r="BH6" s="30" t="str">
        <f t="shared" ca="1" si="20"/>
        <v/>
      </c>
      <c r="BI6" s="30" t="str">
        <f t="shared" ca="1" si="21"/>
        <v/>
      </c>
      <c r="BJ6" s="30" t="str">
        <f t="shared" si="22"/>
        <v/>
      </c>
      <c r="BK6" s="30" t="str">
        <f t="shared" si="23"/>
        <v/>
      </c>
      <c r="BL6" s="30" t="str">
        <f t="shared" si="24"/>
        <v/>
      </c>
      <c r="BM6" s="30" t="str">
        <f t="shared" ca="1" si="25"/>
        <v/>
      </c>
      <c r="BN6" s="31" t="str">
        <f t="shared" ca="1" si="26"/>
        <v>4</v>
      </c>
      <c r="BO6" s="32">
        <f t="shared" si="27"/>
        <v>780000</v>
      </c>
    </row>
    <row r="7" spans="1:67" s="37" customFormat="1" x14ac:dyDescent="0.2">
      <c r="A7" s="19">
        <v>2018</v>
      </c>
      <c r="B7" s="20">
        <v>43916</v>
      </c>
      <c r="C7" s="21" t="s">
        <v>83</v>
      </c>
      <c r="D7" s="21" t="s">
        <v>84</v>
      </c>
      <c r="E7" s="22" t="s">
        <v>81</v>
      </c>
      <c r="F7" s="34"/>
      <c r="G7" s="19">
        <f>IF(ISNUMBER(MATCH(F7,#REF!,0)),1,0)</f>
        <v>0</v>
      </c>
      <c r="H7" s="23">
        <v>1</v>
      </c>
      <c r="I7" s="23"/>
      <c r="J7" s="22" t="s">
        <v>85</v>
      </c>
      <c r="K7" s="24">
        <v>120000000</v>
      </c>
      <c r="L7" s="24">
        <v>27860000</v>
      </c>
      <c r="M7" s="24">
        <f t="shared" si="0"/>
        <v>92140000</v>
      </c>
      <c r="N7" s="24"/>
      <c r="O7" s="25">
        <v>24000000</v>
      </c>
      <c r="P7" s="26">
        <f t="shared" si="1"/>
        <v>0.24</v>
      </c>
      <c r="Q7" s="27">
        <f t="shared" si="2"/>
        <v>22113600</v>
      </c>
      <c r="R7" s="28" t="str">
        <f t="shared" si="3"/>
        <v/>
      </c>
      <c r="S7" s="28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>
        <v>1</v>
      </c>
      <c r="AM7" s="23"/>
      <c r="AN7" s="29">
        <f t="shared" si="4"/>
        <v>0</v>
      </c>
      <c r="AO7" s="23"/>
      <c r="AP7" s="23"/>
      <c r="AQ7" s="23"/>
      <c r="AR7" s="20">
        <v>44854</v>
      </c>
      <c r="AS7" s="30" t="str">
        <f t="shared" ca="1" si="5"/>
        <v/>
      </c>
      <c r="AT7" s="30" t="str">
        <f t="shared" ca="1" si="6"/>
        <v/>
      </c>
      <c r="AU7" s="30" t="str">
        <f t="shared" ca="1" si="7"/>
        <v/>
      </c>
      <c r="AV7" s="30" t="str">
        <f t="shared" ca="1" si="8"/>
        <v/>
      </c>
      <c r="AW7" s="30">
        <f t="shared" ca="1" si="9"/>
        <v>5</v>
      </c>
      <c r="AX7" s="30" t="str">
        <f t="shared" si="10"/>
        <v/>
      </c>
      <c r="AY7" s="30" t="str">
        <f t="shared" ca="1" si="11"/>
        <v/>
      </c>
      <c r="AZ7" s="30" t="str">
        <f t="shared" ca="1" si="12"/>
        <v/>
      </c>
      <c r="BA7" s="30" t="str">
        <f t="shared" ca="1" si="13"/>
        <v/>
      </c>
      <c r="BB7" s="30" t="str">
        <f t="shared" ca="1" si="14"/>
        <v/>
      </c>
      <c r="BC7" s="30" t="str">
        <f t="shared" ca="1" si="15"/>
        <v/>
      </c>
      <c r="BD7" s="30" t="str">
        <f t="shared" ca="1" si="16"/>
        <v/>
      </c>
      <c r="BE7" s="30" t="str">
        <f t="shared" ca="1" si="17"/>
        <v/>
      </c>
      <c r="BF7" s="30" t="str">
        <f t="shared" ca="1" si="18"/>
        <v/>
      </c>
      <c r="BG7" s="30" t="str">
        <f t="shared" ca="1" si="19"/>
        <v/>
      </c>
      <c r="BH7" s="30" t="str">
        <f t="shared" ca="1" si="20"/>
        <v/>
      </c>
      <c r="BI7" s="30" t="str">
        <f t="shared" ca="1" si="21"/>
        <v/>
      </c>
      <c r="BJ7" s="30" t="str">
        <f t="shared" si="22"/>
        <v/>
      </c>
      <c r="BK7" s="30" t="str">
        <f t="shared" si="23"/>
        <v/>
      </c>
      <c r="BL7" s="30" t="str">
        <f t="shared" si="24"/>
        <v/>
      </c>
      <c r="BM7" s="30" t="str">
        <f t="shared" ca="1" si="25"/>
        <v/>
      </c>
      <c r="BN7" s="31" t="str">
        <f t="shared" ca="1" si="26"/>
        <v>5</v>
      </c>
      <c r="BO7" s="32" t="str">
        <f t="shared" si="27"/>
        <v/>
      </c>
    </row>
    <row r="8" spans="1:67" s="37" customFormat="1" x14ac:dyDescent="0.2">
      <c r="A8" s="19">
        <v>2018</v>
      </c>
      <c r="B8" s="20">
        <v>44022</v>
      </c>
      <c r="C8" s="21" t="s">
        <v>86</v>
      </c>
      <c r="D8" s="21" t="s">
        <v>87</v>
      </c>
      <c r="E8" s="22" t="s">
        <v>81</v>
      </c>
      <c r="F8" s="33" t="s">
        <v>88</v>
      </c>
      <c r="G8" s="19">
        <f>IF(ISNUMBER(MATCH(F8,#REF!,0)),1,0)</f>
        <v>0</v>
      </c>
      <c r="H8" s="23">
        <f>IF(ISNUMBER(MATCH(F8,#REF!,0)),1,0)</f>
        <v>0</v>
      </c>
      <c r="I8" s="23"/>
      <c r="J8" s="22" t="s">
        <v>85</v>
      </c>
      <c r="K8" s="24">
        <v>3470000</v>
      </c>
      <c r="L8" s="24">
        <v>2100000</v>
      </c>
      <c r="M8" s="24">
        <f t="shared" si="0"/>
        <v>1370000</v>
      </c>
      <c r="N8" s="24"/>
      <c r="O8" s="25">
        <v>310000</v>
      </c>
      <c r="P8" s="26">
        <f t="shared" si="1"/>
        <v>0.24</v>
      </c>
      <c r="Q8" s="27">
        <f t="shared" si="2"/>
        <v>328800</v>
      </c>
      <c r="R8" s="28">
        <f t="shared" si="3"/>
        <v>18800</v>
      </c>
      <c r="S8" s="28"/>
      <c r="T8" s="20">
        <v>44927</v>
      </c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>
        <v>1</v>
      </c>
      <c r="AM8" s="23"/>
      <c r="AN8" s="29">
        <f t="shared" si="4"/>
        <v>0</v>
      </c>
      <c r="AO8" s="23">
        <v>1.2</v>
      </c>
      <c r="AP8" s="23">
        <v>2.5</v>
      </c>
      <c r="AQ8" s="23">
        <v>20</v>
      </c>
      <c r="AR8" s="23"/>
      <c r="AS8" s="30" t="str">
        <f t="shared" ca="1" si="5"/>
        <v/>
      </c>
      <c r="AT8" s="30" t="str">
        <f t="shared" ca="1" si="6"/>
        <v/>
      </c>
      <c r="AU8" s="30" t="str">
        <f t="shared" ca="1" si="7"/>
        <v/>
      </c>
      <c r="AV8" s="30" t="str">
        <f t="shared" ca="1" si="8"/>
        <v/>
      </c>
      <c r="AW8" s="30" t="str">
        <f t="shared" ca="1" si="9"/>
        <v/>
      </c>
      <c r="AX8" s="30">
        <f t="shared" si="10"/>
        <v>6</v>
      </c>
      <c r="AY8" s="30" t="str">
        <f t="shared" ca="1" si="11"/>
        <v/>
      </c>
      <c r="AZ8" s="30" t="str">
        <f t="shared" ca="1" si="12"/>
        <v/>
      </c>
      <c r="BA8" s="30" t="str">
        <f t="shared" ca="1" si="13"/>
        <v/>
      </c>
      <c r="BB8" s="30" t="str">
        <f t="shared" ca="1" si="14"/>
        <v/>
      </c>
      <c r="BC8" s="30" t="str">
        <f t="shared" ca="1" si="15"/>
        <v/>
      </c>
      <c r="BD8" s="30" t="str">
        <f t="shared" ca="1" si="16"/>
        <v/>
      </c>
      <c r="BE8" s="30" t="str">
        <f t="shared" ca="1" si="17"/>
        <v/>
      </c>
      <c r="BF8" s="30" t="str">
        <f t="shared" ca="1" si="18"/>
        <v/>
      </c>
      <c r="BG8" s="30" t="str">
        <f t="shared" ca="1" si="19"/>
        <v/>
      </c>
      <c r="BH8" s="30" t="str">
        <f t="shared" ca="1" si="20"/>
        <v/>
      </c>
      <c r="BI8" s="30" t="str">
        <f t="shared" ca="1" si="21"/>
        <v/>
      </c>
      <c r="BJ8" s="30" t="str">
        <f t="shared" si="22"/>
        <v/>
      </c>
      <c r="BK8" s="30" t="str">
        <f t="shared" si="23"/>
        <v/>
      </c>
      <c r="BL8" s="30" t="str">
        <f t="shared" si="24"/>
        <v/>
      </c>
      <c r="BM8" s="30" t="str">
        <f t="shared" ca="1" si="25"/>
        <v/>
      </c>
      <c r="BN8" s="31" t="str">
        <f t="shared" ca="1" si="26"/>
        <v>6</v>
      </c>
      <c r="BO8" s="32">
        <f t="shared" si="27"/>
        <v>18800</v>
      </c>
    </row>
    <row r="9" spans="1:67" x14ac:dyDescent="0.2">
      <c r="A9" s="19">
        <v>2018</v>
      </c>
      <c r="B9" s="20">
        <v>43447</v>
      </c>
      <c r="C9" s="21" t="s">
        <v>89</v>
      </c>
      <c r="D9" s="21" t="s">
        <v>90</v>
      </c>
      <c r="E9" s="22" t="s">
        <v>81</v>
      </c>
      <c r="F9" s="33" t="s">
        <v>91</v>
      </c>
      <c r="G9" s="19">
        <v>1</v>
      </c>
      <c r="H9" s="23">
        <v>0</v>
      </c>
      <c r="I9" s="23"/>
      <c r="J9" s="22" t="s">
        <v>92</v>
      </c>
      <c r="K9" s="24">
        <v>0</v>
      </c>
      <c r="L9" s="24">
        <v>4000000</v>
      </c>
      <c r="M9" s="24">
        <f t="shared" si="0"/>
        <v>-4000000</v>
      </c>
      <c r="N9" s="24"/>
      <c r="O9" s="25">
        <v>0</v>
      </c>
      <c r="P9" s="26">
        <f t="shared" si="1"/>
        <v>0.24</v>
      </c>
      <c r="Q9" s="27" t="str">
        <f t="shared" si="2"/>
        <v/>
      </c>
      <c r="R9" s="28" t="str">
        <f t="shared" si="3"/>
        <v/>
      </c>
      <c r="S9" s="28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>
        <v>1</v>
      </c>
      <c r="AG9" s="23"/>
      <c r="AH9" s="23"/>
      <c r="AI9" s="23"/>
      <c r="AJ9" s="23"/>
      <c r="AK9" s="23"/>
      <c r="AL9" s="23">
        <v>1</v>
      </c>
      <c r="AM9" s="23"/>
      <c r="AN9" s="29">
        <f t="shared" si="4"/>
        <v>0</v>
      </c>
      <c r="AO9" s="23"/>
      <c r="AP9" s="23"/>
      <c r="AQ9" s="23"/>
      <c r="AR9" s="23"/>
      <c r="AS9" s="30" t="str">
        <f t="shared" ca="1" si="5"/>
        <v/>
      </c>
      <c r="AT9" s="30" t="str">
        <f t="shared" ca="1" si="6"/>
        <v/>
      </c>
      <c r="AU9" s="30" t="str">
        <f t="shared" ca="1" si="7"/>
        <v/>
      </c>
      <c r="AV9" s="30" t="str">
        <f t="shared" ca="1" si="8"/>
        <v/>
      </c>
      <c r="AW9" s="30" t="str">
        <f t="shared" ca="1" si="9"/>
        <v/>
      </c>
      <c r="AX9" s="30" t="str">
        <f t="shared" si="10"/>
        <v/>
      </c>
      <c r="AY9" s="30">
        <f t="shared" ca="1" si="11"/>
        <v>7</v>
      </c>
      <c r="AZ9" s="30" t="str">
        <f t="shared" ca="1" si="12"/>
        <v/>
      </c>
      <c r="BA9" s="30" t="str">
        <f t="shared" ca="1" si="13"/>
        <v/>
      </c>
      <c r="BB9" s="30" t="str">
        <f t="shared" ca="1" si="14"/>
        <v/>
      </c>
      <c r="BC9" s="30" t="str">
        <f t="shared" ca="1" si="15"/>
        <v/>
      </c>
      <c r="BD9" s="30" t="str">
        <f t="shared" ca="1" si="16"/>
        <v/>
      </c>
      <c r="BE9" s="30" t="str">
        <f t="shared" ca="1" si="17"/>
        <v/>
      </c>
      <c r="BF9" s="30" t="str">
        <f t="shared" ca="1" si="18"/>
        <v/>
      </c>
      <c r="BG9" s="30" t="str">
        <f t="shared" ca="1" si="19"/>
        <v/>
      </c>
      <c r="BH9" s="30" t="str">
        <f t="shared" ca="1" si="20"/>
        <v/>
      </c>
      <c r="BI9" s="30" t="str">
        <f t="shared" ca="1" si="21"/>
        <v/>
      </c>
      <c r="BJ9" s="30" t="str">
        <f t="shared" si="22"/>
        <v/>
      </c>
      <c r="BK9" s="30" t="str">
        <f t="shared" si="23"/>
        <v/>
      </c>
      <c r="BL9" s="30" t="str">
        <f t="shared" si="24"/>
        <v/>
      </c>
      <c r="BM9" s="30" t="str">
        <f t="shared" ca="1" si="25"/>
        <v/>
      </c>
      <c r="BN9" s="31" t="str">
        <f t="shared" ca="1" si="26"/>
        <v>7</v>
      </c>
      <c r="BO9" s="32" t="str">
        <f t="shared" si="27"/>
        <v/>
      </c>
    </row>
    <row r="10" spans="1:67" x14ac:dyDescent="0.2">
      <c r="A10" s="19">
        <v>2019</v>
      </c>
      <c r="B10" s="20">
        <v>44604</v>
      </c>
      <c r="C10" s="21" t="s">
        <v>93</v>
      </c>
      <c r="D10" s="21" t="s">
        <v>94</v>
      </c>
      <c r="E10" s="22" t="s">
        <v>81</v>
      </c>
      <c r="F10" s="33" t="s">
        <v>95</v>
      </c>
      <c r="G10" s="19">
        <v>0</v>
      </c>
      <c r="H10" s="23">
        <v>1</v>
      </c>
      <c r="I10" s="23"/>
      <c r="J10" s="22" t="s">
        <v>92</v>
      </c>
      <c r="K10" s="24">
        <v>12389000</v>
      </c>
      <c r="L10" s="24">
        <v>3288800</v>
      </c>
      <c r="M10" s="24">
        <f t="shared" si="0"/>
        <v>9100200</v>
      </c>
      <c r="N10" s="24"/>
      <c r="O10" s="25">
        <v>1500000</v>
      </c>
      <c r="P10" s="26">
        <f t="shared" si="1"/>
        <v>0.24</v>
      </c>
      <c r="Q10" s="27">
        <f t="shared" si="2"/>
        <v>2184048</v>
      </c>
      <c r="R10" s="28">
        <f t="shared" si="3"/>
        <v>684048</v>
      </c>
      <c r="S10" s="28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>
        <v>1</v>
      </c>
      <c r="AJ10" s="23"/>
      <c r="AK10" s="23"/>
      <c r="AL10" s="23">
        <v>1</v>
      </c>
      <c r="AM10" s="23"/>
      <c r="AN10" s="29">
        <f t="shared" si="4"/>
        <v>0</v>
      </c>
      <c r="AO10" s="23"/>
      <c r="AP10" s="23"/>
      <c r="AQ10" s="23"/>
      <c r="AR10" s="23"/>
      <c r="AS10" s="30" t="str">
        <f t="shared" ca="1" si="5"/>
        <v/>
      </c>
      <c r="AT10" s="30" t="str">
        <f t="shared" ca="1" si="6"/>
        <v/>
      </c>
      <c r="AU10" s="30" t="str">
        <f t="shared" ca="1" si="7"/>
        <v/>
      </c>
      <c r="AV10" s="30" t="str">
        <f t="shared" ca="1" si="8"/>
        <v/>
      </c>
      <c r="AW10" s="30" t="str">
        <f t="shared" ca="1" si="9"/>
        <v/>
      </c>
      <c r="AX10" s="30" t="str">
        <f t="shared" si="10"/>
        <v/>
      </c>
      <c r="AY10" s="30" t="str">
        <f t="shared" ca="1" si="11"/>
        <v/>
      </c>
      <c r="AZ10" s="30" t="str">
        <f t="shared" ca="1" si="12"/>
        <v/>
      </c>
      <c r="BA10" s="30" t="str">
        <f t="shared" ca="1" si="13"/>
        <v/>
      </c>
      <c r="BB10" s="30" t="str">
        <f t="shared" ca="1" si="14"/>
        <v/>
      </c>
      <c r="BC10" s="30" t="str">
        <f t="shared" ca="1" si="15"/>
        <v/>
      </c>
      <c r="BD10" s="30" t="str">
        <f t="shared" ca="1" si="16"/>
        <v/>
      </c>
      <c r="BE10" s="30" t="str">
        <f t="shared" ca="1" si="17"/>
        <v/>
      </c>
      <c r="BF10" s="30" t="str">
        <f t="shared" ca="1" si="18"/>
        <v/>
      </c>
      <c r="BG10" s="30" t="str">
        <f t="shared" ca="1" si="19"/>
        <v/>
      </c>
      <c r="BH10" s="30" t="str">
        <f t="shared" ca="1" si="20"/>
        <v/>
      </c>
      <c r="BI10" s="30" t="str">
        <f t="shared" ca="1" si="21"/>
        <v/>
      </c>
      <c r="BJ10" s="30" t="str">
        <f t="shared" si="22"/>
        <v/>
      </c>
      <c r="BK10" s="30" t="str">
        <f t="shared" si="23"/>
        <v/>
      </c>
      <c r="BL10" s="30" t="str">
        <f t="shared" si="24"/>
        <v/>
      </c>
      <c r="BM10" s="30" t="str">
        <f t="shared" ca="1" si="25"/>
        <v>Other</v>
      </c>
      <c r="BN10" s="31" t="str">
        <f t="shared" ca="1" si="26"/>
        <v>Other</v>
      </c>
      <c r="BO10" s="32">
        <f t="shared" si="27"/>
        <v>684048</v>
      </c>
    </row>
    <row r="11" spans="1:67" x14ac:dyDescent="0.2">
      <c r="A11" s="19">
        <v>2022</v>
      </c>
      <c r="B11" s="20">
        <v>44574</v>
      </c>
      <c r="C11" s="21" t="s">
        <v>96</v>
      </c>
      <c r="D11" s="21" t="s">
        <v>97</v>
      </c>
      <c r="E11" s="22" t="s">
        <v>81</v>
      </c>
      <c r="F11" s="33" t="s">
        <v>91</v>
      </c>
      <c r="G11" s="19">
        <f>IF(ISNUMBER(MATCH(F11,#REF!,0)),1,0)</f>
        <v>0</v>
      </c>
      <c r="H11" s="23">
        <f>IF(ISNUMBER(MATCH(F11,#REF!,0)),1,0)</f>
        <v>0</v>
      </c>
      <c r="I11" s="23"/>
      <c r="J11" s="22" t="s">
        <v>98</v>
      </c>
      <c r="K11" s="24">
        <v>730000000</v>
      </c>
      <c r="L11" s="24">
        <v>543000000</v>
      </c>
      <c r="M11" s="24">
        <f t="shared" si="0"/>
        <v>187000000</v>
      </c>
      <c r="N11" s="24">
        <v>100000000</v>
      </c>
      <c r="O11" s="25">
        <v>25000000</v>
      </c>
      <c r="P11" s="26">
        <f t="shared" si="1"/>
        <v>0.2</v>
      </c>
      <c r="Q11" s="27">
        <f t="shared" si="2"/>
        <v>57400000</v>
      </c>
      <c r="R11" s="28">
        <f t="shared" si="3"/>
        <v>32400000</v>
      </c>
      <c r="S11" s="28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>
        <v>1</v>
      </c>
      <c r="AM11" s="20">
        <v>45658</v>
      </c>
      <c r="AN11" s="29">
        <f t="shared" si="4"/>
        <v>100000000</v>
      </c>
      <c r="AO11" s="23"/>
      <c r="AP11" s="23"/>
      <c r="AQ11" s="23"/>
      <c r="AR11" s="23"/>
      <c r="AS11" s="30" t="str">
        <f t="shared" ca="1" si="5"/>
        <v/>
      </c>
      <c r="AT11" s="30" t="str">
        <f t="shared" ca="1" si="6"/>
        <v/>
      </c>
      <c r="AU11" s="30" t="str">
        <f t="shared" ca="1" si="7"/>
        <v/>
      </c>
      <c r="AV11" s="30" t="str">
        <f t="shared" ca="1" si="8"/>
        <v/>
      </c>
      <c r="AW11" s="30" t="str">
        <f t="shared" ca="1" si="9"/>
        <v/>
      </c>
      <c r="AX11" s="30" t="str">
        <f t="shared" si="10"/>
        <v/>
      </c>
      <c r="AY11" s="30" t="str">
        <f t="shared" ca="1" si="11"/>
        <v/>
      </c>
      <c r="AZ11" s="30" t="str">
        <f t="shared" ca="1" si="12"/>
        <v/>
      </c>
      <c r="BA11" s="30" t="str">
        <f t="shared" ca="1" si="13"/>
        <v/>
      </c>
      <c r="BB11" s="30" t="str">
        <f t="shared" ca="1" si="14"/>
        <v/>
      </c>
      <c r="BC11" s="30" t="str">
        <f t="shared" ca="1" si="15"/>
        <v/>
      </c>
      <c r="BD11" s="30" t="str">
        <f t="shared" ca="1" si="16"/>
        <v/>
      </c>
      <c r="BE11" s="30" t="str">
        <f t="shared" ca="1" si="17"/>
        <v/>
      </c>
      <c r="BF11" s="30" t="str">
        <f t="shared" ca="1" si="18"/>
        <v/>
      </c>
      <c r="BG11" s="30" t="str">
        <f t="shared" ca="1" si="19"/>
        <v/>
      </c>
      <c r="BH11" s="30" t="str">
        <f t="shared" ca="1" si="20"/>
        <v/>
      </c>
      <c r="BI11" s="30" t="str">
        <f t="shared" ca="1" si="21"/>
        <v/>
      </c>
      <c r="BJ11" s="30" t="str">
        <f t="shared" si="22"/>
        <v/>
      </c>
      <c r="BK11" s="30" t="str">
        <f t="shared" si="23"/>
        <v/>
      </c>
      <c r="BL11" s="30" t="str">
        <f t="shared" si="24"/>
        <v/>
      </c>
      <c r="BM11" s="30" t="str">
        <f t="shared" ca="1" si="25"/>
        <v>Other</v>
      </c>
      <c r="BN11" s="31" t="str">
        <f t="shared" ca="1" si="26"/>
        <v>Other</v>
      </c>
      <c r="BO11" s="32">
        <f t="shared" si="27"/>
        <v>32400000</v>
      </c>
    </row>
    <row r="12" spans="1:67" x14ac:dyDescent="0.2">
      <c r="A12" s="19">
        <v>2018</v>
      </c>
      <c r="B12" s="20">
        <v>42267</v>
      </c>
      <c r="C12" s="21" t="s">
        <v>99</v>
      </c>
      <c r="D12" s="21" t="s">
        <v>100</v>
      </c>
      <c r="E12" s="22" t="s">
        <v>81</v>
      </c>
      <c r="F12" s="33" t="s">
        <v>91</v>
      </c>
      <c r="G12" s="23">
        <v>1</v>
      </c>
      <c r="H12" s="23">
        <v>0</v>
      </c>
      <c r="I12" s="23"/>
      <c r="J12" s="22" t="s">
        <v>101</v>
      </c>
      <c r="K12" s="24">
        <v>3460000</v>
      </c>
      <c r="L12" s="24">
        <v>2000000</v>
      </c>
      <c r="M12" s="24">
        <f t="shared" si="0"/>
        <v>1460000</v>
      </c>
      <c r="N12" s="24"/>
      <c r="O12" s="25">
        <v>150000</v>
      </c>
      <c r="P12" s="26">
        <f t="shared" si="1"/>
        <v>0.24</v>
      </c>
      <c r="Q12" s="27">
        <f t="shared" si="2"/>
        <v>350400</v>
      </c>
      <c r="R12" s="28">
        <f t="shared" si="3"/>
        <v>200400</v>
      </c>
      <c r="S12" s="28"/>
      <c r="T12" s="23"/>
      <c r="U12" s="23"/>
      <c r="V12" s="23"/>
      <c r="W12" s="23">
        <v>1</v>
      </c>
      <c r="X12" s="23"/>
      <c r="Y12" s="23">
        <v>1</v>
      </c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>
        <v>1</v>
      </c>
      <c r="AM12" s="23"/>
      <c r="AN12" s="29">
        <f t="shared" ref="AN12:AN22" si="28">N12</f>
        <v>0</v>
      </c>
      <c r="AO12" s="23"/>
      <c r="AP12" s="23"/>
      <c r="AQ12" s="23"/>
      <c r="AR12" s="23"/>
      <c r="AS12" s="30" t="str">
        <f t="shared" ca="1" si="5"/>
        <v/>
      </c>
      <c r="AT12" s="30" t="str">
        <f t="shared" ca="1" si="6"/>
        <v/>
      </c>
      <c r="AU12" s="30" t="str">
        <f t="shared" ca="1" si="7"/>
        <v/>
      </c>
      <c r="AV12" s="30" t="str">
        <f t="shared" ca="1" si="8"/>
        <v/>
      </c>
      <c r="AW12" s="30" t="str">
        <f t="shared" ca="1" si="9"/>
        <v/>
      </c>
      <c r="AX12" s="30" t="str">
        <f t="shared" si="10"/>
        <v/>
      </c>
      <c r="AY12" s="30" t="str">
        <f t="shared" ca="1" si="11"/>
        <v/>
      </c>
      <c r="AZ12" s="30" t="str">
        <f t="shared" ca="1" si="12"/>
        <v/>
      </c>
      <c r="BA12" s="30" t="str">
        <f t="shared" ca="1" si="13"/>
        <v/>
      </c>
      <c r="BB12" s="30" t="str">
        <f t="shared" ca="1" si="14"/>
        <v/>
      </c>
      <c r="BC12" s="30" t="str">
        <f t="shared" ca="1" si="15"/>
        <v/>
      </c>
      <c r="BD12" s="30">
        <f t="shared" ca="1" si="16"/>
        <v>12</v>
      </c>
      <c r="BE12" s="30" t="str">
        <f t="shared" ca="1" si="17"/>
        <v/>
      </c>
      <c r="BF12" s="30" t="str">
        <f t="shared" ca="1" si="18"/>
        <v/>
      </c>
      <c r="BG12" s="30" t="str">
        <f t="shared" ca="1" si="19"/>
        <v/>
      </c>
      <c r="BH12" s="30" t="str">
        <f t="shared" ca="1" si="20"/>
        <v/>
      </c>
      <c r="BI12" s="30" t="str">
        <f t="shared" ca="1" si="21"/>
        <v/>
      </c>
      <c r="BJ12" s="30" t="str">
        <f t="shared" si="22"/>
        <v/>
      </c>
      <c r="BK12" s="30" t="str">
        <f t="shared" si="23"/>
        <v/>
      </c>
      <c r="BL12" s="30" t="str">
        <f t="shared" si="24"/>
        <v/>
      </c>
      <c r="BM12" s="30" t="str">
        <f t="shared" ca="1" si="25"/>
        <v/>
      </c>
      <c r="BN12" s="31" t="str">
        <f t="shared" ca="1" si="26"/>
        <v>12</v>
      </c>
      <c r="BO12" s="32">
        <f t="shared" si="27"/>
        <v>200400</v>
      </c>
    </row>
    <row r="13" spans="1:67" x14ac:dyDescent="0.2">
      <c r="A13" s="19">
        <v>2020</v>
      </c>
      <c r="B13" s="20">
        <v>39299</v>
      </c>
      <c r="C13" s="21" t="s">
        <v>102</v>
      </c>
      <c r="D13" s="21" t="s">
        <v>103</v>
      </c>
      <c r="E13" s="22" t="s">
        <v>81</v>
      </c>
      <c r="F13" s="33" t="s">
        <v>95</v>
      </c>
      <c r="G13" s="19">
        <v>1</v>
      </c>
      <c r="H13" s="23">
        <v>0</v>
      </c>
      <c r="I13" s="23"/>
      <c r="J13" s="22" t="s">
        <v>101</v>
      </c>
      <c r="K13" s="24">
        <v>129000000</v>
      </c>
      <c r="L13" s="24">
        <v>29000000</v>
      </c>
      <c r="M13" s="24">
        <f t="shared" si="0"/>
        <v>100000000</v>
      </c>
      <c r="N13" s="24"/>
      <c r="O13" s="24">
        <v>18900000</v>
      </c>
      <c r="P13" s="26">
        <f t="shared" si="1"/>
        <v>0.2</v>
      </c>
      <c r="Q13" s="27">
        <f t="shared" si="2"/>
        <v>20000000</v>
      </c>
      <c r="R13" s="28">
        <f t="shared" si="3"/>
        <v>1100000</v>
      </c>
      <c r="S13" s="28"/>
      <c r="T13" s="23"/>
      <c r="U13" s="23"/>
      <c r="V13" s="23"/>
      <c r="W13" s="23">
        <v>1</v>
      </c>
      <c r="X13" s="23"/>
      <c r="Y13" s="23">
        <v>1</v>
      </c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>
        <v>1</v>
      </c>
      <c r="AM13" s="23"/>
      <c r="AN13" s="29">
        <f t="shared" si="28"/>
        <v>0</v>
      </c>
      <c r="AO13" s="23"/>
      <c r="AP13" s="23"/>
      <c r="AQ13" s="23"/>
      <c r="AR13" s="23"/>
      <c r="AS13" s="30" t="str">
        <f t="shared" ca="1" si="5"/>
        <v/>
      </c>
      <c r="AT13" s="30" t="str">
        <f t="shared" ca="1" si="6"/>
        <v/>
      </c>
      <c r="AU13" s="30" t="str">
        <f t="shared" ca="1" si="7"/>
        <v/>
      </c>
      <c r="AV13" s="30" t="str">
        <f t="shared" ca="1" si="8"/>
        <v/>
      </c>
      <c r="AW13" s="30" t="str">
        <f t="shared" ca="1" si="9"/>
        <v/>
      </c>
      <c r="AX13" s="30" t="str">
        <f t="shared" si="10"/>
        <v/>
      </c>
      <c r="AY13" s="30" t="str">
        <f t="shared" ca="1" si="11"/>
        <v/>
      </c>
      <c r="AZ13" s="30" t="str">
        <f t="shared" ca="1" si="12"/>
        <v/>
      </c>
      <c r="BA13" s="30" t="str">
        <f t="shared" ca="1" si="13"/>
        <v/>
      </c>
      <c r="BB13" s="30" t="str">
        <f t="shared" ca="1" si="14"/>
        <v/>
      </c>
      <c r="BC13" s="30" t="str">
        <f t="shared" ca="1" si="15"/>
        <v/>
      </c>
      <c r="BD13" s="30" t="str">
        <f t="shared" ca="1" si="16"/>
        <v/>
      </c>
      <c r="BE13" s="30">
        <f t="shared" ca="1" si="17"/>
        <v>13</v>
      </c>
      <c r="BF13" s="30" t="str">
        <f t="shared" ca="1" si="18"/>
        <v/>
      </c>
      <c r="BG13" s="30" t="str">
        <f t="shared" ca="1" si="19"/>
        <v/>
      </c>
      <c r="BH13" s="30" t="str">
        <f t="shared" ca="1" si="20"/>
        <v/>
      </c>
      <c r="BI13" s="30" t="str">
        <f t="shared" ca="1" si="21"/>
        <v/>
      </c>
      <c r="BJ13" s="30" t="str">
        <f t="shared" si="22"/>
        <v/>
      </c>
      <c r="BK13" s="30" t="str">
        <f t="shared" si="23"/>
        <v/>
      </c>
      <c r="BL13" s="30" t="str">
        <f t="shared" si="24"/>
        <v/>
      </c>
      <c r="BM13" s="30" t="str">
        <f t="shared" ca="1" si="25"/>
        <v/>
      </c>
      <c r="BN13" s="31" t="str">
        <f t="shared" ca="1" si="26"/>
        <v>13</v>
      </c>
      <c r="BO13" s="32">
        <f t="shared" si="27"/>
        <v>1100000</v>
      </c>
    </row>
    <row r="14" spans="1:67" x14ac:dyDescent="0.2">
      <c r="A14" s="19">
        <v>2018</v>
      </c>
      <c r="B14" s="20">
        <v>44088</v>
      </c>
      <c r="C14" s="21" t="s">
        <v>104</v>
      </c>
      <c r="D14" s="21" t="s">
        <v>105</v>
      </c>
      <c r="E14" s="22" t="s">
        <v>81</v>
      </c>
      <c r="F14" s="33" t="s">
        <v>106</v>
      </c>
      <c r="G14" s="19">
        <f>IF(ISNUMBER(MATCH(F14,#REF!,0)),1,0)</f>
        <v>0</v>
      </c>
      <c r="H14" s="23">
        <v>1</v>
      </c>
      <c r="I14" s="23"/>
      <c r="J14" s="22" t="s">
        <v>101</v>
      </c>
      <c r="K14" s="24">
        <v>378000000</v>
      </c>
      <c r="L14" s="24">
        <v>279000000</v>
      </c>
      <c r="M14" s="24">
        <f t="shared" si="0"/>
        <v>99000000</v>
      </c>
      <c r="N14" s="24"/>
      <c r="O14" s="25">
        <v>19000000</v>
      </c>
      <c r="P14" s="26">
        <f t="shared" si="1"/>
        <v>0.24</v>
      </c>
      <c r="Q14" s="27">
        <f t="shared" si="2"/>
        <v>23760000</v>
      </c>
      <c r="R14" s="28">
        <f t="shared" si="3"/>
        <v>4760000</v>
      </c>
      <c r="S14" s="28"/>
      <c r="T14" s="23"/>
      <c r="U14" s="23"/>
      <c r="V14" s="23"/>
      <c r="W14" s="23">
        <v>1</v>
      </c>
      <c r="X14" s="23"/>
      <c r="Y14" s="23">
        <v>1</v>
      </c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>
        <v>1</v>
      </c>
      <c r="AM14" s="23"/>
      <c r="AN14" s="29">
        <f t="shared" si="28"/>
        <v>0</v>
      </c>
      <c r="AO14" s="23"/>
      <c r="AP14" s="23"/>
      <c r="AQ14" s="23"/>
      <c r="AR14" s="23"/>
      <c r="AS14" s="30" t="str">
        <f t="shared" ca="1" si="5"/>
        <v/>
      </c>
      <c r="AT14" s="30" t="str">
        <f t="shared" ca="1" si="6"/>
        <v/>
      </c>
      <c r="AU14" s="30" t="str">
        <f t="shared" ca="1" si="7"/>
        <v/>
      </c>
      <c r="AV14" s="30" t="str">
        <f t="shared" ca="1" si="8"/>
        <v/>
      </c>
      <c r="AW14" s="30" t="str">
        <f t="shared" ca="1" si="9"/>
        <v/>
      </c>
      <c r="AX14" s="30" t="str">
        <f t="shared" si="10"/>
        <v/>
      </c>
      <c r="AY14" s="30" t="str">
        <f t="shared" ca="1" si="11"/>
        <v/>
      </c>
      <c r="AZ14" s="30" t="str">
        <f t="shared" ca="1" si="12"/>
        <v/>
      </c>
      <c r="BA14" s="30" t="str">
        <f t="shared" ca="1" si="13"/>
        <v/>
      </c>
      <c r="BB14" s="30" t="str">
        <f t="shared" ca="1" si="14"/>
        <v/>
      </c>
      <c r="BC14" s="30" t="str">
        <f t="shared" ca="1" si="15"/>
        <v/>
      </c>
      <c r="BD14" s="30" t="str">
        <f t="shared" ca="1" si="16"/>
        <v/>
      </c>
      <c r="BE14" s="30" t="str">
        <f t="shared" ca="1" si="17"/>
        <v/>
      </c>
      <c r="BF14" s="30">
        <f t="shared" ca="1" si="18"/>
        <v>14</v>
      </c>
      <c r="BG14" s="30" t="str">
        <f t="shared" ca="1" si="19"/>
        <v/>
      </c>
      <c r="BH14" s="30" t="str">
        <f t="shared" ca="1" si="20"/>
        <v/>
      </c>
      <c r="BI14" s="30" t="str">
        <f t="shared" ca="1" si="21"/>
        <v/>
      </c>
      <c r="BJ14" s="30" t="str">
        <f t="shared" si="22"/>
        <v/>
      </c>
      <c r="BK14" s="30" t="str">
        <f t="shared" si="23"/>
        <v/>
      </c>
      <c r="BL14" s="30" t="str">
        <f t="shared" si="24"/>
        <v/>
      </c>
      <c r="BM14" s="30" t="str">
        <f t="shared" ca="1" si="25"/>
        <v/>
      </c>
      <c r="BN14" s="31" t="str">
        <f t="shared" ca="1" si="26"/>
        <v>14</v>
      </c>
      <c r="BO14" s="32">
        <f t="shared" si="27"/>
        <v>4760000</v>
      </c>
    </row>
    <row r="15" spans="1:67" x14ac:dyDescent="0.2">
      <c r="A15" s="19">
        <v>2021</v>
      </c>
      <c r="B15" s="20">
        <v>42426</v>
      </c>
      <c r="C15" s="21" t="s">
        <v>107</v>
      </c>
      <c r="D15" s="21" t="s">
        <v>108</v>
      </c>
      <c r="E15" s="22" t="s">
        <v>81</v>
      </c>
      <c r="F15" s="33" t="s">
        <v>109</v>
      </c>
      <c r="G15" s="19">
        <f>IF(ISNUMBER(MATCH(F15,#REF!,0)),1,0)</f>
        <v>0</v>
      </c>
      <c r="H15" s="23">
        <v>1</v>
      </c>
      <c r="I15" s="23"/>
      <c r="J15" s="22" t="s">
        <v>101</v>
      </c>
      <c r="K15" s="24">
        <v>4000000</v>
      </c>
      <c r="L15" s="24">
        <v>3000000</v>
      </c>
      <c r="M15" s="24">
        <f t="shared" si="0"/>
        <v>1000000</v>
      </c>
      <c r="N15" s="24"/>
      <c r="O15" s="24">
        <v>220000</v>
      </c>
      <c r="P15" s="26">
        <f t="shared" si="1"/>
        <v>0.2</v>
      </c>
      <c r="Q15" s="27">
        <f t="shared" si="2"/>
        <v>200000</v>
      </c>
      <c r="R15" s="28" t="str">
        <f t="shared" si="3"/>
        <v/>
      </c>
      <c r="S15" s="28"/>
      <c r="T15" s="23"/>
      <c r="U15" s="23"/>
      <c r="V15" s="23"/>
      <c r="W15" s="23">
        <v>1</v>
      </c>
      <c r="X15" s="23"/>
      <c r="Y15" s="23">
        <v>1</v>
      </c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>
        <v>1</v>
      </c>
      <c r="AM15" s="23"/>
      <c r="AN15" s="29">
        <f t="shared" si="28"/>
        <v>0</v>
      </c>
      <c r="AO15" s="23"/>
      <c r="AP15" s="23"/>
      <c r="AQ15" s="23"/>
      <c r="AR15" s="23"/>
      <c r="AS15" s="30" t="str">
        <f t="shared" ca="1" si="5"/>
        <v/>
      </c>
      <c r="AT15" s="30" t="str">
        <f t="shared" ca="1" si="6"/>
        <v/>
      </c>
      <c r="AU15" s="30" t="str">
        <f t="shared" ca="1" si="7"/>
        <v/>
      </c>
      <c r="AV15" s="30" t="str">
        <f t="shared" ca="1" si="8"/>
        <v/>
      </c>
      <c r="AW15" s="30" t="str">
        <f t="shared" ca="1" si="9"/>
        <v/>
      </c>
      <c r="AX15" s="30" t="str">
        <f t="shared" si="10"/>
        <v/>
      </c>
      <c r="AY15" s="30" t="str">
        <f t="shared" ca="1" si="11"/>
        <v/>
      </c>
      <c r="AZ15" s="30" t="str">
        <f t="shared" ca="1" si="12"/>
        <v/>
      </c>
      <c r="BA15" s="30" t="str">
        <f t="shared" ca="1" si="13"/>
        <v/>
      </c>
      <c r="BB15" s="30" t="str">
        <f t="shared" ca="1" si="14"/>
        <v/>
      </c>
      <c r="BC15" s="30" t="str">
        <f t="shared" ca="1" si="15"/>
        <v/>
      </c>
      <c r="BD15" s="30" t="str">
        <f t="shared" ca="1" si="16"/>
        <v/>
      </c>
      <c r="BE15" s="30" t="str">
        <f t="shared" ca="1" si="17"/>
        <v/>
      </c>
      <c r="BF15" s="30" t="str">
        <f t="shared" ca="1" si="18"/>
        <v/>
      </c>
      <c r="BG15" s="30">
        <f t="shared" ca="1" si="19"/>
        <v>15</v>
      </c>
      <c r="BH15" s="30" t="str">
        <f t="shared" ca="1" si="20"/>
        <v/>
      </c>
      <c r="BI15" s="30" t="str">
        <f t="shared" ca="1" si="21"/>
        <v/>
      </c>
      <c r="BJ15" s="30" t="str">
        <f t="shared" si="22"/>
        <v/>
      </c>
      <c r="BK15" s="30" t="str">
        <f t="shared" si="23"/>
        <v/>
      </c>
      <c r="BL15" s="30" t="str">
        <f t="shared" si="24"/>
        <v/>
      </c>
      <c r="BM15" s="30" t="str">
        <f t="shared" ca="1" si="25"/>
        <v/>
      </c>
      <c r="BN15" s="31" t="str">
        <f t="shared" ca="1" si="26"/>
        <v>15</v>
      </c>
      <c r="BO15" s="32" t="str">
        <f t="shared" si="27"/>
        <v/>
      </c>
    </row>
    <row r="16" spans="1:67" x14ac:dyDescent="0.2">
      <c r="A16" s="19">
        <v>2018</v>
      </c>
      <c r="B16" s="20">
        <v>40970</v>
      </c>
      <c r="C16" s="21" t="s">
        <v>110</v>
      </c>
      <c r="D16" s="21" t="s">
        <v>111</v>
      </c>
      <c r="E16" s="22" t="s">
        <v>81</v>
      </c>
      <c r="F16" s="33" t="s">
        <v>109</v>
      </c>
      <c r="G16" s="19">
        <v>1</v>
      </c>
      <c r="H16" s="23">
        <v>0</v>
      </c>
      <c r="I16" s="23"/>
      <c r="J16" s="22" t="s">
        <v>101</v>
      </c>
      <c r="K16" s="24">
        <v>39000000</v>
      </c>
      <c r="L16" s="24">
        <v>28000000</v>
      </c>
      <c r="M16" s="24">
        <f t="shared" si="0"/>
        <v>11000000</v>
      </c>
      <c r="N16" s="24"/>
      <c r="O16" s="25">
        <v>1890000</v>
      </c>
      <c r="P16" s="26">
        <f t="shared" si="1"/>
        <v>0.24</v>
      </c>
      <c r="Q16" s="27">
        <f t="shared" si="2"/>
        <v>2640000</v>
      </c>
      <c r="R16" s="28">
        <f t="shared" si="3"/>
        <v>750000</v>
      </c>
      <c r="S16" s="28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>
        <v>1</v>
      </c>
      <c r="AE16" s="23"/>
      <c r="AF16" s="23"/>
      <c r="AG16" s="23"/>
      <c r="AH16" s="23"/>
      <c r="AI16" s="23"/>
      <c r="AJ16" s="23"/>
      <c r="AK16" s="23"/>
      <c r="AL16" s="23">
        <v>1</v>
      </c>
      <c r="AM16" s="23"/>
      <c r="AN16" s="29">
        <f t="shared" si="28"/>
        <v>0</v>
      </c>
      <c r="AO16" s="23"/>
      <c r="AP16" s="23"/>
      <c r="AQ16" s="23"/>
      <c r="AR16" s="23"/>
      <c r="AS16" s="30" t="str">
        <f t="shared" ca="1" si="5"/>
        <v/>
      </c>
      <c r="AT16" s="30" t="str">
        <f t="shared" ca="1" si="6"/>
        <v/>
      </c>
      <c r="AU16" s="30" t="str">
        <f t="shared" ca="1" si="7"/>
        <v/>
      </c>
      <c r="AV16" s="30" t="str">
        <f t="shared" ca="1" si="8"/>
        <v/>
      </c>
      <c r="AW16" s="30" t="str">
        <f t="shared" ca="1" si="9"/>
        <v/>
      </c>
      <c r="AX16" s="30" t="str">
        <f t="shared" si="10"/>
        <v/>
      </c>
      <c r="AY16" s="30" t="str">
        <f t="shared" ca="1" si="11"/>
        <v/>
      </c>
      <c r="AZ16" s="30" t="str">
        <f t="shared" ca="1" si="12"/>
        <v/>
      </c>
      <c r="BA16" s="30" t="str">
        <f t="shared" ca="1" si="13"/>
        <v/>
      </c>
      <c r="BB16" s="30">
        <f t="shared" ca="1" si="14"/>
        <v>10</v>
      </c>
      <c r="BC16" s="30" t="str">
        <f t="shared" ca="1" si="15"/>
        <v/>
      </c>
      <c r="BD16" s="30" t="str">
        <f t="shared" ca="1" si="16"/>
        <v/>
      </c>
      <c r="BE16" s="30" t="str">
        <f t="shared" ca="1" si="17"/>
        <v/>
      </c>
      <c r="BF16" s="30" t="str">
        <f t="shared" ca="1" si="18"/>
        <v/>
      </c>
      <c r="BG16" s="30" t="str">
        <f t="shared" ca="1" si="19"/>
        <v/>
      </c>
      <c r="BH16" s="30" t="str">
        <f t="shared" ca="1" si="20"/>
        <v/>
      </c>
      <c r="BI16" s="30" t="str">
        <f t="shared" ca="1" si="21"/>
        <v/>
      </c>
      <c r="BJ16" s="30" t="str">
        <f t="shared" si="22"/>
        <v/>
      </c>
      <c r="BK16" s="30" t="str">
        <f t="shared" si="23"/>
        <v/>
      </c>
      <c r="BL16" s="30" t="str">
        <f t="shared" si="24"/>
        <v/>
      </c>
      <c r="BM16" s="30" t="str">
        <f t="shared" ca="1" si="25"/>
        <v/>
      </c>
      <c r="BN16" s="31" t="str">
        <f t="shared" ca="1" si="26"/>
        <v>10</v>
      </c>
      <c r="BO16" s="32">
        <f t="shared" si="27"/>
        <v>750000</v>
      </c>
    </row>
    <row r="17" spans="1:67" x14ac:dyDescent="0.2">
      <c r="A17" s="19">
        <v>2018</v>
      </c>
      <c r="B17" s="20">
        <v>44459</v>
      </c>
      <c r="C17" s="21" t="s">
        <v>112</v>
      </c>
      <c r="D17" s="21" t="s">
        <v>113</v>
      </c>
      <c r="E17" s="22" t="s">
        <v>81</v>
      </c>
      <c r="F17" s="33" t="s">
        <v>109</v>
      </c>
      <c r="G17" s="19">
        <f>IF(ISNUMBER(MATCH(F17,#REF!,0)),1,0)</f>
        <v>0</v>
      </c>
      <c r="H17" s="23">
        <v>1</v>
      </c>
      <c r="I17" s="23"/>
      <c r="J17" s="22" t="s">
        <v>101</v>
      </c>
      <c r="K17" s="24">
        <v>4280799900</v>
      </c>
      <c r="L17" s="24">
        <v>3760000000</v>
      </c>
      <c r="M17" s="24">
        <f t="shared" si="0"/>
        <v>520799900</v>
      </c>
      <c r="N17" s="24"/>
      <c r="O17" s="25">
        <v>120000000</v>
      </c>
      <c r="P17" s="26">
        <f t="shared" si="1"/>
        <v>0.24</v>
      </c>
      <c r="Q17" s="27">
        <f t="shared" si="2"/>
        <v>124991976</v>
      </c>
      <c r="R17" s="28">
        <f t="shared" si="3"/>
        <v>4991976</v>
      </c>
      <c r="S17" s="28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>
        <v>1</v>
      </c>
      <c r="AH17" s="23"/>
      <c r="AI17" s="23"/>
      <c r="AJ17" s="23"/>
      <c r="AK17" s="23"/>
      <c r="AL17" s="23">
        <v>1</v>
      </c>
      <c r="AM17" s="23"/>
      <c r="AN17" s="29">
        <f t="shared" si="28"/>
        <v>0</v>
      </c>
      <c r="AO17" s="23"/>
      <c r="AP17" s="23"/>
      <c r="AQ17" s="23"/>
      <c r="AR17" s="23"/>
      <c r="AS17" s="30" t="str">
        <f t="shared" ca="1" si="5"/>
        <v/>
      </c>
      <c r="AT17" s="30" t="str">
        <f t="shared" ca="1" si="6"/>
        <v/>
      </c>
      <c r="AU17" s="30" t="str">
        <f t="shared" ca="1" si="7"/>
        <v/>
      </c>
      <c r="AV17" s="30" t="str">
        <f t="shared" ca="1" si="8"/>
        <v/>
      </c>
      <c r="AW17" s="30" t="str">
        <f t="shared" ca="1" si="9"/>
        <v/>
      </c>
      <c r="AX17" s="30" t="str">
        <f t="shared" si="10"/>
        <v/>
      </c>
      <c r="AY17" s="30" t="str">
        <f t="shared" ca="1" si="11"/>
        <v/>
      </c>
      <c r="AZ17" s="30" t="str">
        <f t="shared" ca="1" si="12"/>
        <v/>
      </c>
      <c r="BA17" s="30" t="str">
        <f t="shared" ca="1" si="13"/>
        <v/>
      </c>
      <c r="BB17" s="30" t="str">
        <f t="shared" ca="1" si="14"/>
        <v/>
      </c>
      <c r="BC17" s="30">
        <f t="shared" ca="1" si="15"/>
        <v>11</v>
      </c>
      <c r="BD17" s="30" t="str">
        <f t="shared" ca="1" si="16"/>
        <v/>
      </c>
      <c r="BE17" s="30" t="str">
        <f t="shared" ca="1" si="17"/>
        <v/>
      </c>
      <c r="BF17" s="30" t="str">
        <f t="shared" ca="1" si="18"/>
        <v/>
      </c>
      <c r="BG17" s="30" t="str">
        <f t="shared" ca="1" si="19"/>
        <v/>
      </c>
      <c r="BH17" s="30" t="str">
        <f t="shared" ca="1" si="20"/>
        <v/>
      </c>
      <c r="BI17" s="30" t="str">
        <f t="shared" ca="1" si="21"/>
        <v/>
      </c>
      <c r="BJ17" s="30" t="str">
        <f t="shared" si="22"/>
        <v/>
      </c>
      <c r="BK17" s="30" t="str">
        <f t="shared" si="23"/>
        <v/>
      </c>
      <c r="BL17" s="30" t="str">
        <f t="shared" si="24"/>
        <v/>
      </c>
      <c r="BM17" s="30" t="str">
        <f t="shared" ca="1" si="25"/>
        <v/>
      </c>
      <c r="BN17" s="31" t="str">
        <f t="shared" ca="1" si="26"/>
        <v>11</v>
      </c>
      <c r="BO17" s="32">
        <f t="shared" si="27"/>
        <v>4991976</v>
      </c>
    </row>
    <row r="18" spans="1:67" x14ac:dyDescent="0.2">
      <c r="A18" s="19">
        <v>2018</v>
      </c>
      <c r="B18" s="20">
        <v>42005</v>
      </c>
      <c r="C18" s="21" t="s">
        <v>114</v>
      </c>
      <c r="D18" s="21" t="s">
        <v>115</v>
      </c>
      <c r="E18" s="22" t="s">
        <v>81</v>
      </c>
      <c r="F18" s="33" t="s">
        <v>109</v>
      </c>
      <c r="G18" s="19">
        <v>1</v>
      </c>
      <c r="H18" s="23">
        <v>0</v>
      </c>
      <c r="I18" s="23"/>
      <c r="J18" s="22" t="s">
        <v>101</v>
      </c>
      <c r="K18" s="24">
        <v>12000000</v>
      </c>
      <c r="L18" s="24">
        <v>0</v>
      </c>
      <c r="M18" s="24">
        <f t="shared" si="0"/>
        <v>12000000</v>
      </c>
      <c r="N18" s="24"/>
      <c r="O18" s="25">
        <v>1800000</v>
      </c>
      <c r="P18" s="26">
        <f t="shared" si="1"/>
        <v>0.24</v>
      </c>
      <c r="Q18" s="27">
        <f t="shared" si="2"/>
        <v>2880000</v>
      </c>
      <c r="R18" s="28">
        <f t="shared" si="3"/>
        <v>1080000</v>
      </c>
      <c r="S18" s="28"/>
      <c r="T18" s="23"/>
      <c r="U18" s="23"/>
      <c r="V18" s="23"/>
      <c r="W18" s="23"/>
      <c r="X18" s="23">
        <v>1</v>
      </c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>
        <v>1</v>
      </c>
      <c r="AL18" s="23">
        <v>1</v>
      </c>
      <c r="AM18" s="23"/>
      <c r="AN18" s="29">
        <f t="shared" si="28"/>
        <v>0</v>
      </c>
      <c r="AO18" s="23"/>
      <c r="AP18" s="23"/>
      <c r="AQ18" s="23"/>
      <c r="AR18" s="23"/>
      <c r="AS18" s="30" t="str">
        <f t="shared" ca="1" si="5"/>
        <v/>
      </c>
      <c r="AT18" s="30" t="str">
        <f t="shared" ca="1" si="6"/>
        <v/>
      </c>
      <c r="AU18" s="30" t="str">
        <f t="shared" ca="1" si="7"/>
        <v/>
      </c>
      <c r="AV18" s="30" t="str">
        <f t="shared" ca="1" si="8"/>
        <v/>
      </c>
      <c r="AW18" s="30" t="str">
        <f t="shared" ca="1" si="9"/>
        <v/>
      </c>
      <c r="AX18" s="30" t="str">
        <f t="shared" si="10"/>
        <v/>
      </c>
      <c r="AY18" s="30" t="str">
        <f t="shared" ca="1" si="11"/>
        <v/>
      </c>
      <c r="AZ18" s="30" t="str">
        <f t="shared" ca="1" si="12"/>
        <v/>
      </c>
      <c r="BA18" s="30" t="str">
        <f t="shared" ca="1" si="13"/>
        <v/>
      </c>
      <c r="BB18" s="30" t="str">
        <f t="shared" ca="1" si="14"/>
        <v/>
      </c>
      <c r="BC18" s="30" t="str">
        <f t="shared" ca="1" si="15"/>
        <v/>
      </c>
      <c r="BD18" s="30" t="str">
        <f t="shared" ca="1" si="16"/>
        <v/>
      </c>
      <c r="BE18" s="30" t="str">
        <f t="shared" ca="1" si="17"/>
        <v/>
      </c>
      <c r="BF18" s="30" t="str">
        <f t="shared" ca="1" si="18"/>
        <v/>
      </c>
      <c r="BG18" s="30" t="str">
        <f t="shared" ca="1" si="19"/>
        <v/>
      </c>
      <c r="BH18" s="30">
        <f t="shared" ca="1" si="20"/>
        <v>16</v>
      </c>
      <c r="BI18" s="30" t="str">
        <f t="shared" ca="1" si="21"/>
        <v/>
      </c>
      <c r="BJ18" s="30" t="str">
        <f t="shared" si="22"/>
        <v/>
      </c>
      <c r="BK18" s="30" t="str">
        <f t="shared" si="23"/>
        <v/>
      </c>
      <c r="BL18" s="30" t="str">
        <f t="shared" si="24"/>
        <v/>
      </c>
      <c r="BM18" s="30" t="str">
        <f t="shared" ca="1" si="25"/>
        <v/>
      </c>
      <c r="BN18" s="31" t="str">
        <f t="shared" ca="1" si="26"/>
        <v>16</v>
      </c>
      <c r="BO18" s="32">
        <f t="shared" si="27"/>
        <v>1080000</v>
      </c>
    </row>
    <row r="19" spans="1:67" x14ac:dyDescent="0.2">
      <c r="A19" s="19">
        <v>2021</v>
      </c>
      <c r="B19" s="20">
        <v>42396</v>
      </c>
      <c r="C19" s="21" t="s">
        <v>116</v>
      </c>
      <c r="D19" s="21" t="s">
        <v>117</v>
      </c>
      <c r="E19" s="22" t="s">
        <v>81</v>
      </c>
      <c r="F19" s="33" t="s">
        <v>106</v>
      </c>
      <c r="G19" s="19">
        <f>IF(ISNUMBER(MATCH(F19,#REF!,0)),1,0)</f>
        <v>0</v>
      </c>
      <c r="H19" s="23">
        <v>1</v>
      </c>
      <c r="I19" s="23"/>
      <c r="J19" s="22" t="s">
        <v>101</v>
      </c>
      <c r="K19" s="24">
        <v>5380585000</v>
      </c>
      <c r="L19" s="24">
        <v>5000585000</v>
      </c>
      <c r="M19" s="24">
        <v>380000000</v>
      </c>
      <c r="N19" s="24"/>
      <c r="O19" s="25">
        <v>50000000</v>
      </c>
      <c r="P19" s="26">
        <f t="shared" si="1"/>
        <v>0.2</v>
      </c>
      <c r="Q19" s="27">
        <f t="shared" si="2"/>
        <v>76000000</v>
      </c>
      <c r="R19" s="28">
        <f t="shared" si="3"/>
        <v>26000000</v>
      </c>
      <c r="S19" s="28"/>
      <c r="T19" s="23"/>
      <c r="U19" s="23"/>
      <c r="V19" s="23"/>
      <c r="W19" s="23"/>
      <c r="X19" s="23">
        <v>1</v>
      </c>
      <c r="Y19" s="23"/>
      <c r="Z19" s="23"/>
      <c r="AA19" s="23"/>
      <c r="AB19" s="23"/>
      <c r="AC19" s="23"/>
      <c r="AD19" s="23"/>
      <c r="AE19" s="23">
        <v>1</v>
      </c>
      <c r="AF19" s="23"/>
      <c r="AG19" s="23"/>
      <c r="AH19" s="23"/>
      <c r="AI19" s="23"/>
      <c r="AJ19" s="23"/>
      <c r="AK19" s="23"/>
      <c r="AL19" s="23">
        <v>1</v>
      </c>
      <c r="AM19" s="23"/>
      <c r="AN19" s="29">
        <f t="shared" si="28"/>
        <v>0</v>
      </c>
      <c r="AO19" s="23"/>
      <c r="AP19" s="23"/>
      <c r="AQ19" s="23"/>
      <c r="AR19" s="23"/>
      <c r="AS19" s="30" t="str">
        <f t="shared" ca="1" si="5"/>
        <v/>
      </c>
      <c r="AT19" s="30" t="str">
        <f t="shared" ca="1" si="6"/>
        <v/>
      </c>
      <c r="AU19" s="30" t="str">
        <f t="shared" ca="1" si="7"/>
        <v/>
      </c>
      <c r="AV19" s="30" t="str">
        <f t="shared" ca="1" si="8"/>
        <v/>
      </c>
      <c r="AW19" s="30" t="str">
        <f t="shared" ca="1" si="9"/>
        <v/>
      </c>
      <c r="AX19" s="30" t="str">
        <f t="shared" si="10"/>
        <v/>
      </c>
      <c r="AY19" s="30" t="str">
        <f t="shared" ca="1" si="11"/>
        <v/>
      </c>
      <c r="AZ19" s="30" t="str">
        <f t="shared" ca="1" si="12"/>
        <v/>
      </c>
      <c r="BA19" s="30" t="str">
        <f t="shared" ca="1" si="13"/>
        <v/>
      </c>
      <c r="BB19" s="30" t="str">
        <f t="shared" ca="1" si="14"/>
        <v/>
      </c>
      <c r="BC19" s="30" t="str">
        <f t="shared" ca="1" si="15"/>
        <v/>
      </c>
      <c r="BD19" s="30" t="str">
        <f t="shared" ca="1" si="16"/>
        <v/>
      </c>
      <c r="BE19" s="30" t="str">
        <f t="shared" ca="1" si="17"/>
        <v/>
      </c>
      <c r="BF19" s="30" t="str">
        <f t="shared" ca="1" si="18"/>
        <v/>
      </c>
      <c r="BG19" s="30" t="str">
        <f t="shared" ca="1" si="19"/>
        <v/>
      </c>
      <c r="BH19" s="30" t="str">
        <f t="shared" ca="1" si="20"/>
        <v/>
      </c>
      <c r="BI19" s="30">
        <f t="shared" ca="1" si="21"/>
        <v>17</v>
      </c>
      <c r="BJ19" s="30" t="str">
        <f t="shared" si="22"/>
        <v/>
      </c>
      <c r="BK19" s="30" t="str">
        <f t="shared" si="23"/>
        <v/>
      </c>
      <c r="BL19" s="30" t="str">
        <f t="shared" si="24"/>
        <v/>
      </c>
      <c r="BM19" s="30" t="str">
        <f t="shared" ca="1" si="25"/>
        <v/>
      </c>
      <c r="BN19" s="31" t="str">
        <f t="shared" ca="1" si="26"/>
        <v>17</v>
      </c>
      <c r="BO19" s="32">
        <f t="shared" si="27"/>
        <v>26000000</v>
      </c>
    </row>
    <row r="20" spans="1:67" x14ac:dyDescent="0.2">
      <c r="A20" s="19">
        <v>2019</v>
      </c>
      <c r="B20" s="20">
        <v>44501</v>
      </c>
      <c r="C20" s="21" t="s">
        <v>118</v>
      </c>
      <c r="D20" s="21" t="s">
        <v>119</v>
      </c>
      <c r="E20" s="22" t="s">
        <v>81</v>
      </c>
      <c r="F20" s="33" t="s">
        <v>120</v>
      </c>
      <c r="G20" s="19">
        <f>IF(ISNUMBER(MATCH(F20,#REF!,0)),1,0)</f>
        <v>0</v>
      </c>
      <c r="H20" s="23">
        <f>IF(ISNUMBER(MATCH(F20,#REF!,0)),1,0)</f>
        <v>0</v>
      </c>
      <c r="I20" s="23"/>
      <c r="J20" s="22" t="s">
        <v>121</v>
      </c>
      <c r="K20" s="24">
        <v>51591311026</v>
      </c>
      <c r="L20" s="24">
        <v>4851167580</v>
      </c>
      <c r="M20" s="24">
        <v>307963522</v>
      </c>
      <c r="N20" s="24"/>
      <c r="O20" s="25">
        <v>52000000</v>
      </c>
      <c r="P20" s="26">
        <f t="shared" si="1"/>
        <v>0.24</v>
      </c>
      <c r="Q20" s="27">
        <f t="shared" si="2"/>
        <v>73911245.280000001</v>
      </c>
      <c r="R20" s="28">
        <f t="shared" si="3"/>
        <v>21911245.280000001</v>
      </c>
      <c r="S20" s="28"/>
      <c r="T20" s="23"/>
      <c r="U20" s="23"/>
      <c r="V20" s="23"/>
      <c r="W20" s="23"/>
      <c r="X20" s="23"/>
      <c r="Y20" s="23"/>
      <c r="Z20" s="23">
        <v>1</v>
      </c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>
        <v>1</v>
      </c>
      <c r="AM20" s="23"/>
      <c r="AN20" s="29">
        <f t="shared" si="28"/>
        <v>0</v>
      </c>
      <c r="AO20" s="23"/>
      <c r="AP20" s="23"/>
      <c r="AQ20" s="23"/>
      <c r="AR20" s="23"/>
      <c r="AS20" s="30" t="str">
        <f t="shared" ca="1" si="5"/>
        <v/>
      </c>
      <c r="AT20" s="30" t="str">
        <f t="shared" ca="1" si="6"/>
        <v/>
      </c>
      <c r="AU20" s="30" t="str">
        <f t="shared" ca="1" si="7"/>
        <v/>
      </c>
      <c r="AV20" s="30" t="str">
        <f t="shared" ca="1" si="8"/>
        <v/>
      </c>
      <c r="AW20" s="30" t="str">
        <f t="shared" ca="1" si="9"/>
        <v/>
      </c>
      <c r="AX20" s="30" t="str">
        <f t="shared" si="10"/>
        <v/>
      </c>
      <c r="AY20" s="30" t="str">
        <f t="shared" ca="1" si="11"/>
        <v/>
      </c>
      <c r="AZ20" s="30" t="str">
        <f t="shared" ca="1" si="12"/>
        <v/>
      </c>
      <c r="BA20" s="30" t="str">
        <f t="shared" ca="1" si="13"/>
        <v/>
      </c>
      <c r="BB20" s="30" t="str">
        <f t="shared" ca="1" si="14"/>
        <v/>
      </c>
      <c r="BC20" s="30" t="str">
        <f t="shared" ca="1" si="15"/>
        <v/>
      </c>
      <c r="BD20" s="30" t="str">
        <f t="shared" ca="1" si="16"/>
        <v/>
      </c>
      <c r="BE20" s="30" t="str">
        <f t="shared" ca="1" si="17"/>
        <v/>
      </c>
      <c r="BF20" s="30" t="str">
        <f t="shared" ca="1" si="18"/>
        <v/>
      </c>
      <c r="BG20" s="30" t="str">
        <f t="shared" ca="1" si="19"/>
        <v/>
      </c>
      <c r="BH20" s="30" t="str">
        <f t="shared" ca="1" si="20"/>
        <v/>
      </c>
      <c r="BI20" s="30" t="str">
        <f t="shared" ca="1" si="21"/>
        <v/>
      </c>
      <c r="BJ20" s="30">
        <f t="shared" si="22"/>
        <v>18</v>
      </c>
      <c r="BK20" s="30" t="str">
        <f t="shared" si="23"/>
        <v/>
      </c>
      <c r="BL20" s="30" t="str">
        <f t="shared" si="24"/>
        <v/>
      </c>
      <c r="BM20" s="30" t="str">
        <f t="shared" ca="1" si="25"/>
        <v/>
      </c>
      <c r="BN20" s="31" t="str">
        <f t="shared" ref="BN20:BN22" ca="1" si="29">IF(COUNTA(AS20:BM20)&gt;0,_xlfn.TEXTJOIN(", ",TRUE,AS20:BM20),"")</f>
        <v>18</v>
      </c>
      <c r="BO20" s="32">
        <f t="shared" si="27"/>
        <v>21911245.280000001</v>
      </c>
    </row>
    <row r="21" spans="1:67" x14ac:dyDescent="0.2">
      <c r="A21" s="19">
        <v>2018</v>
      </c>
      <c r="B21" s="20">
        <v>44756</v>
      </c>
      <c r="C21" s="21" t="s">
        <v>122</v>
      </c>
      <c r="D21" s="21" t="s">
        <v>123</v>
      </c>
      <c r="E21" s="22" t="s">
        <v>81</v>
      </c>
      <c r="F21" s="22" t="s">
        <v>120</v>
      </c>
      <c r="G21" s="19">
        <f>IF(ISNUMBER(MATCH(F21,#REF!,0)),1,0)</f>
        <v>0</v>
      </c>
      <c r="H21" s="23">
        <f>IF(ISNUMBER(MATCH(F21,#REF!,0)),1,0)</f>
        <v>0</v>
      </c>
      <c r="I21" s="23"/>
      <c r="J21" s="22" t="s">
        <v>121</v>
      </c>
      <c r="K21" s="24">
        <v>114504323391</v>
      </c>
      <c r="L21" s="24">
        <v>144095180496</v>
      </c>
      <c r="M21" s="24">
        <v>-29590857105</v>
      </c>
      <c r="N21" s="24"/>
      <c r="O21" s="25">
        <v>0</v>
      </c>
      <c r="P21" s="26">
        <f t="shared" si="1"/>
        <v>0.24</v>
      </c>
      <c r="Q21" s="27" t="str">
        <f t="shared" si="2"/>
        <v/>
      </c>
      <c r="R21" s="28" t="str">
        <f t="shared" si="3"/>
        <v/>
      </c>
      <c r="S21" s="28"/>
      <c r="T21" s="23"/>
      <c r="U21" s="23"/>
      <c r="V21" s="23"/>
      <c r="W21" s="23"/>
      <c r="X21" s="23"/>
      <c r="Y21" s="23"/>
      <c r="Z21" s="23"/>
      <c r="AA21" s="23">
        <v>1</v>
      </c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>
        <v>1</v>
      </c>
      <c r="AM21" s="23"/>
      <c r="AN21" s="29">
        <f t="shared" si="28"/>
        <v>0</v>
      </c>
      <c r="AO21" s="23"/>
      <c r="AP21" s="23"/>
      <c r="AQ21" s="23"/>
      <c r="AR21" s="23"/>
      <c r="AS21" s="30" t="str">
        <f t="shared" ca="1" si="5"/>
        <v/>
      </c>
      <c r="AT21" s="30" t="str">
        <f t="shared" ca="1" si="6"/>
        <v/>
      </c>
      <c r="AU21" s="30" t="str">
        <f t="shared" ca="1" si="7"/>
        <v/>
      </c>
      <c r="AV21" s="30" t="str">
        <f t="shared" ca="1" si="8"/>
        <v/>
      </c>
      <c r="AW21" s="30" t="str">
        <f t="shared" ca="1" si="9"/>
        <v/>
      </c>
      <c r="AX21" s="30" t="str">
        <f t="shared" si="10"/>
        <v/>
      </c>
      <c r="AY21" s="30" t="str">
        <f t="shared" ca="1" si="11"/>
        <v/>
      </c>
      <c r="AZ21" s="30" t="str">
        <f t="shared" ca="1" si="12"/>
        <v/>
      </c>
      <c r="BA21" s="30" t="str">
        <f t="shared" ca="1" si="13"/>
        <v/>
      </c>
      <c r="BB21" s="30" t="str">
        <f t="shared" ca="1" si="14"/>
        <v/>
      </c>
      <c r="BC21" s="30" t="str">
        <f t="shared" ca="1" si="15"/>
        <v/>
      </c>
      <c r="BD21" s="30" t="str">
        <f t="shared" ca="1" si="16"/>
        <v/>
      </c>
      <c r="BE21" s="30" t="str">
        <f t="shared" ca="1" si="17"/>
        <v/>
      </c>
      <c r="BF21" s="30" t="str">
        <f t="shared" ca="1" si="18"/>
        <v/>
      </c>
      <c r="BG21" s="30" t="str">
        <f t="shared" ca="1" si="19"/>
        <v/>
      </c>
      <c r="BH21" s="30" t="str">
        <f t="shared" ca="1" si="20"/>
        <v/>
      </c>
      <c r="BI21" s="30" t="str">
        <f t="shared" ca="1" si="21"/>
        <v/>
      </c>
      <c r="BJ21" s="30" t="str">
        <f t="shared" si="22"/>
        <v/>
      </c>
      <c r="BK21" s="30">
        <f t="shared" si="23"/>
        <v>19</v>
      </c>
      <c r="BL21" s="30" t="str">
        <f t="shared" si="24"/>
        <v/>
      </c>
      <c r="BM21" s="30" t="str">
        <f t="shared" ca="1" si="25"/>
        <v/>
      </c>
      <c r="BN21" s="31" t="str">
        <f t="shared" ca="1" si="29"/>
        <v>19</v>
      </c>
      <c r="BO21" s="32" t="str">
        <f t="shared" si="27"/>
        <v/>
      </c>
    </row>
    <row r="22" spans="1:67" x14ac:dyDescent="0.2">
      <c r="A22" s="38">
        <v>2018</v>
      </c>
      <c r="B22" s="39">
        <v>41339</v>
      </c>
      <c r="C22" s="21" t="s">
        <v>124</v>
      </c>
      <c r="D22" s="21" t="s">
        <v>125</v>
      </c>
      <c r="E22" s="40" t="s">
        <v>126</v>
      </c>
      <c r="F22" s="41" t="s">
        <v>127</v>
      </c>
      <c r="G22" s="38">
        <f>IF(ISNUMBER(MATCH(F22,#REF!,0)),1,0)</f>
        <v>0</v>
      </c>
      <c r="H22" s="42">
        <f>IF(ISNUMBER(MATCH(F22,#REF!,0)),1,0)</f>
        <v>0</v>
      </c>
      <c r="I22" s="42"/>
      <c r="J22" s="40" t="s">
        <v>128</v>
      </c>
      <c r="K22" s="43">
        <v>1098415500</v>
      </c>
      <c r="L22" s="43">
        <v>1042630615</v>
      </c>
      <c r="M22" s="43">
        <f>K22-L22</f>
        <v>55784885</v>
      </c>
      <c r="N22" s="43"/>
      <c r="O22" s="44">
        <v>13200000</v>
      </c>
      <c r="P22" s="45">
        <f t="shared" si="1"/>
        <v>0.24</v>
      </c>
      <c r="Q22" s="27">
        <f t="shared" si="2"/>
        <v>13388372.4</v>
      </c>
      <c r="R22" s="46">
        <f t="shared" si="3"/>
        <v>188372.40000000037</v>
      </c>
      <c r="S22" s="46"/>
      <c r="T22" s="42"/>
      <c r="U22" s="42"/>
      <c r="V22" s="42"/>
      <c r="W22" s="42"/>
      <c r="X22" s="42"/>
      <c r="Y22" s="42"/>
      <c r="Z22" s="42"/>
      <c r="AA22" s="42"/>
      <c r="AB22" s="42">
        <v>1</v>
      </c>
      <c r="AC22" s="42"/>
      <c r="AD22" s="42"/>
      <c r="AE22" s="42"/>
      <c r="AF22" s="42"/>
      <c r="AG22" s="42"/>
      <c r="AH22" s="42"/>
      <c r="AI22" s="42"/>
      <c r="AJ22" s="42"/>
      <c r="AK22" s="42"/>
      <c r="AL22" s="23">
        <v>1</v>
      </c>
      <c r="AM22" s="42"/>
      <c r="AN22" s="47">
        <f t="shared" si="28"/>
        <v>0</v>
      </c>
      <c r="AO22" s="42"/>
      <c r="AP22" s="42"/>
      <c r="AQ22" s="42"/>
      <c r="AR22" s="42"/>
      <c r="AS22" s="48" t="str">
        <f t="shared" ca="1" si="5"/>
        <v/>
      </c>
      <c r="AT22" s="48" t="str">
        <f t="shared" ca="1" si="6"/>
        <v/>
      </c>
      <c r="AU22" s="48" t="str">
        <f t="shared" ca="1" si="7"/>
        <v/>
      </c>
      <c r="AV22" s="48" t="str">
        <f t="shared" ca="1" si="8"/>
        <v/>
      </c>
      <c r="AW22" s="48" t="str">
        <f t="shared" ca="1" si="9"/>
        <v/>
      </c>
      <c r="AX22" s="48" t="str">
        <f t="shared" si="10"/>
        <v/>
      </c>
      <c r="AY22" s="48" t="str">
        <f t="shared" ca="1" si="11"/>
        <v/>
      </c>
      <c r="AZ22" s="48" t="str">
        <f t="shared" ca="1" si="12"/>
        <v/>
      </c>
      <c r="BA22" s="48" t="str">
        <f t="shared" ca="1" si="13"/>
        <v/>
      </c>
      <c r="BB22" s="48" t="str">
        <f t="shared" ca="1" si="14"/>
        <v/>
      </c>
      <c r="BC22" s="48" t="str">
        <f t="shared" ca="1" si="15"/>
        <v/>
      </c>
      <c r="BD22" s="48" t="str">
        <f t="shared" ca="1" si="16"/>
        <v/>
      </c>
      <c r="BE22" s="48" t="str">
        <f t="shared" ca="1" si="17"/>
        <v/>
      </c>
      <c r="BF22" s="48" t="str">
        <f t="shared" ca="1" si="18"/>
        <v/>
      </c>
      <c r="BG22" s="48" t="str">
        <f t="shared" ca="1" si="19"/>
        <v/>
      </c>
      <c r="BH22" s="48" t="str">
        <f t="shared" ca="1" si="20"/>
        <v/>
      </c>
      <c r="BI22" s="48" t="str">
        <f t="shared" ca="1" si="21"/>
        <v/>
      </c>
      <c r="BJ22" s="48" t="str">
        <f t="shared" si="22"/>
        <v/>
      </c>
      <c r="BK22" s="48" t="str">
        <f t="shared" si="23"/>
        <v/>
      </c>
      <c r="BL22" s="48">
        <f t="shared" si="24"/>
        <v>20</v>
      </c>
      <c r="BM22" s="48" t="str">
        <f t="shared" ca="1" si="25"/>
        <v/>
      </c>
      <c r="BN22" s="49" t="str">
        <f t="shared" ca="1" si="29"/>
        <v>20</v>
      </c>
      <c r="BO22" s="50">
        <f t="shared" si="27"/>
        <v>188372.40000000037</v>
      </c>
    </row>
    <row r="23" spans="1:67" s="4" customFormat="1" x14ac:dyDescent="0.2">
      <c r="A23" s="2"/>
      <c r="B23" s="2"/>
      <c r="C23" s="2"/>
      <c r="D23" s="2"/>
      <c r="E23" s="2"/>
      <c r="F23" s="2"/>
      <c r="G23" s="2"/>
      <c r="H23" s="3"/>
      <c r="I23" s="3"/>
      <c r="J23" s="2"/>
      <c r="K23" s="51"/>
      <c r="O23" s="5"/>
      <c r="P23" s="5"/>
      <c r="R23" s="6"/>
      <c r="S23" s="6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8"/>
      <c r="BO23" s="9"/>
    </row>
    <row r="24" spans="1:67" s="4" customFormat="1" x14ac:dyDescent="0.2">
      <c r="A24" s="2"/>
      <c r="B24" s="2"/>
      <c r="C24" s="2"/>
      <c r="D24" s="2"/>
      <c r="E24" s="2"/>
      <c r="F24" s="2"/>
      <c r="G24" s="2"/>
      <c r="H24" s="3"/>
      <c r="I24" s="3"/>
      <c r="J24" s="2"/>
      <c r="K24" s="51"/>
      <c r="O24" s="5"/>
      <c r="P24" s="5"/>
      <c r="R24" s="6"/>
      <c r="S24" s="6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8"/>
      <c r="BO24" s="9"/>
    </row>
    <row r="25" spans="1:67" s="4" customFormat="1" x14ac:dyDescent="0.2">
      <c r="A25" s="2"/>
      <c r="B25" s="2"/>
      <c r="C25" s="2"/>
      <c r="D25" s="2"/>
      <c r="E25" s="2"/>
      <c r="F25" s="2"/>
      <c r="G25" s="2"/>
      <c r="H25" s="3"/>
      <c r="I25" s="3"/>
      <c r="J25" s="2"/>
      <c r="K25" s="51"/>
      <c r="O25" s="5"/>
      <c r="P25" s="5"/>
      <c r="R25" s="6"/>
      <c r="S25" s="6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8"/>
      <c r="BO25" s="9"/>
    </row>
    <row r="26" spans="1:67" s="4" customFormat="1" x14ac:dyDescent="0.2">
      <c r="A26" s="2"/>
      <c r="B26" s="2"/>
      <c r="C26" s="2"/>
      <c r="D26" s="2"/>
      <c r="E26" s="2"/>
      <c r="F26" s="2"/>
      <c r="G26" s="2"/>
      <c r="H26" s="3"/>
      <c r="I26" s="3"/>
      <c r="J26" s="2"/>
      <c r="K26" s="51"/>
      <c r="O26" s="5"/>
      <c r="P26" s="5"/>
      <c r="R26" s="6"/>
      <c r="S26" s="6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8"/>
      <c r="BO26" s="9"/>
    </row>
    <row r="27" spans="1:67" s="4" customFormat="1" x14ac:dyDescent="0.2">
      <c r="A27" s="2"/>
      <c r="B27" s="2"/>
      <c r="C27" s="2"/>
      <c r="D27" s="2"/>
      <c r="E27" s="2"/>
      <c r="F27" s="2"/>
      <c r="G27" s="2"/>
      <c r="H27" s="3"/>
      <c r="I27" s="3"/>
      <c r="J27" s="2"/>
      <c r="K27" s="51"/>
      <c r="O27" s="5"/>
      <c r="P27" s="5"/>
      <c r="R27" s="6"/>
      <c r="S27" s="6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8"/>
      <c r="BO27" s="9"/>
    </row>
    <row r="28" spans="1:67" s="4" customFormat="1" x14ac:dyDescent="0.2">
      <c r="A28" s="2"/>
      <c r="B28" s="2"/>
      <c r="C28" s="2"/>
      <c r="D28" s="2"/>
      <c r="E28" s="2"/>
      <c r="F28" s="2"/>
      <c r="G28" s="2"/>
      <c r="H28" s="3"/>
      <c r="I28" s="3"/>
      <c r="J28" s="2"/>
      <c r="K28" s="51"/>
      <c r="O28" s="5"/>
      <c r="P28" s="5"/>
      <c r="R28" s="6"/>
      <c r="S28" s="6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8"/>
      <c r="BO28" s="9"/>
    </row>
    <row r="29" spans="1:67" s="4" customFormat="1" x14ac:dyDescent="0.2">
      <c r="A29" s="2"/>
      <c r="B29" s="2"/>
      <c r="C29" s="2"/>
      <c r="D29" s="2"/>
      <c r="E29" s="2"/>
      <c r="F29" s="2"/>
      <c r="G29" s="2"/>
      <c r="H29" s="3"/>
      <c r="I29" s="3"/>
      <c r="J29" s="2"/>
      <c r="K29" s="51"/>
      <c r="O29" s="5"/>
      <c r="P29" s="5"/>
      <c r="R29" s="6"/>
      <c r="S29" s="6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8"/>
      <c r="BO29" s="9"/>
    </row>
    <row r="30" spans="1:67" s="4" customFormat="1" x14ac:dyDescent="0.2">
      <c r="A30" s="2"/>
      <c r="B30" s="2"/>
      <c r="C30" s="2"/>
      <c r="D30" s="2"/>
      <c r="E30" s="2"/>
      <c r="F30" s="2"/>
      <c r="G30" s="2"/>
      <c r="H30" s="3"/>
      <c r="I30" s="3"/>
      <c r="J30" s="2"/>
      <c r="K30" s="51"/>
      <c r="O30" s="5"/>
      <c r="P30" s="5"/>
      <c r="R30" s="6"/>
      <c r="S30" s="6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8"/>
      <c r="BO30" s="9"/>
    </row>
    <row r="31" spans="1:67" s="4" customFormat="1" x14ac:dyDescent="0.2">
      <c r="A31" s="2"/>
      <c r="B31" s="2"/>
      <c r="C31" s="2"/>
      <c r="D31" s="2"/>
      <c r="E31" s="2"/>
      <c r="F31" s="2"/>
      <c r="G31" s="2"/>
      <c r="H31" s="3"/>
      <c r="I31" s="3"/>
      <c r="J31" s="2"/>
      <c r="K31" s="51"/>
      <c r="O31" s="5"/>
      <c r="P31" s="5"/>
      <c r="R31" s="6"/>
      <c r="S31" s="6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8"/>
      <c r="BO31" s="9"/>
    </row>
    <row r="32" spans="1:67" s="4" customFormat="1" x14ac:dyDescent="0.2">
      <c r="A32" s="2"/>
      <c r="B32" s="2"/>
      <c r="C32" s="2"/>
      <c r="D32" s="2"/>
      <c r="E32" s="2"/>
      <c r="F32" s="2"/>
      <c r="G32" s="2"/>
      <c r="H32" s="3"/>
      <c r="I32" s="3"/>
      <c r="J32" s="2"/>
      <c r="K32" s="51"/>
      <c r="O32" s="5"/>
      <c r="P32" s="5"/>
      <c r="R32" s="6"/>
      <c r="S32" s="6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8"/>
      <c r="BO32" s="9"/>
    </row>
    <row r="33" spans="1:67" s="4" customFormat="1" x14ac:dyDescent="0.2">
      <c r="A33" s="2"/>
      <c r="B33" s="2"/>
      <c r="C33" s="2"/>
      <c r="D33" s="2"/>
      <c r="E33" s="2"/>
      <c r="F33" s="2"/>
      <c r="G33" s="2"/>
      <c r="H33" s="3"/>
      <c r="I33" s="3"/>
      <c r="J33" s="2"/>
      <c r="K33" s="51"/>
      <c r="O33" s="5"/>
      <c r="P33" s="5"/>
      <c r="R33" s="6"/>
      <c r="S33" s="6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8"/>
      <c r="BO33" s="9"/>
    </row>
    <row r="34" spans="1:67" s="4" customFormat="1" x14ac:dyDescent="0.2">
      <c r="A34" s="2"/>
      <c r="B34" s="2"/>
      <c r="C34" s="2"/>
      <c r="D34" s="2"/>
      <c r="E34" s="2"/>
      <c r="F34" s="2"/>
      <c r="G34" s="2"/>
      <c r="H34" s="3"/>
      <c r="I34" s="3"/>
      <c r="J34" s="2"/>
      <c r="K34" s="51"/>
      <c r="O34" s="5"/>
      <c r="P34" s="5"/>
      <c r="R34" s="6"/>
      <c r="S34" s="6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8"/>
      <c r="BO34" s="9"/>
    </row>
    <row r="35" spans="1:67" s="4" customFormat="1" x14ac:dyDescent="0.2">
      <c r="A35" s="2"/>
      <c r="B35" s="2"/>
      <c r="C35" s="2"/>
      <c r="D35" s="2"/>
      <c r="E35" s="2"/>
      <c r="F35" s="2"/>
      <c r="G35" s="2"/>
      <c r="H35" s="3"/>
      <c r="I35" s="3"/>
      <c r="J35" s="2"/>
      <c r="K35" s="51"/>
      <c r="O35" s="5"/>
      <c r="P35" s="5"/>
      <c r="R35" s="6"/>
      <c r="S35" s="6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8"/>
      <c r="BO35" s="9"/>
    </row>
    <row r="36" spans="1:67" s="4" customFormat="1" x14ac:dyDescent="0.2">
      <c r="A36" s="2"/>
      <c r="B36" s="2"/>
      <c r="C36" s="2"/>
      <c r="D36" s="2"/>
      <c r="E36" s="2"/>
      <c r="F36" s="2"/>
      <c r="G36" s="2"/>
      <c r="H36" s="3"/>
      <c r="I36" s="3"/>
      <c r="J36" s="2"/>
      <c r="K36" s="51"/>
      <c r="O36" s="5"/>
      <c r="P36" s="5"/>
      <c r="R36" s="6"/>
      <c r="S36" s="6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8"/>
      <c r="BO36" s="9"/>
    </row>
    <row r="37" spans="1:67" s="4" customFormat="1" x14ac:dyDescent="0.2">
      <c r="A37" s="2"/>
      <c r="B37" s="2"/>
      <c r="C37" s="2"/>
      <c r="D37" s="2"/>
      <c r="E37" s="2"/>
      <c r="F37" s="2"/>
      <c r="G37" s="2"/>
      <c r="H37" s="3"/>
      <c r="I37" s="3"/>
      <c r="J37" s="2"/>
      <c r="K37" s="51"/>
      <c r="O37" s="5"/>
      <c r="P37" s="5"/>
      <c r="R37" s="6"/>
      <c r="S37" s="6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8"/>
      <c r="BO37" s="9"/>
    </row>
    <row r="38" spans="1:67" s="4" customFormat="1" x14ac:dyDescent="0.2">
      <c r="A38" s="2"/>
      <c r="B38" s="2"/>
      <c r="C38" s="2"/>
      <c r="D38" s="2"/>
      <c r="E38" s="2"/>
      <c r="F38" s="2"/>
      <c r="G38" s="2"/>
      <c r="H38" s="3"/>
      <c r="I38" s="3"/>
      <c r="J38" s="2"/>
      <c r="K38" s="51"/>
      <c r="O38" s="5"/>
      <c r="P38" s="5"/>
      <c r="R38" s="6"/>
      <c r="S38" s="6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8"/>
      <c r="BO38" s="9"/>
    </row>
    <row r="39" spans="1:67" s="4" customFormat="1" x14ac:dyDescent="0.2">
      <c r="A39" s="2"/>
      <c r="B39" s="2"/>
      <c r="C39" s="2"/>
      <c r="D39" s="2"/>
      <c r="E39" s="2"/>
      <c r="F39" s="2"/>
      <c r="G39" s="2"/>
      <c r="H39" s="3"/>
      <c r="I39" s="3"/>
      <c r="J39" s="2"/>
      <c r="K39" s="51"/>
      <c r="O39" s="5"/>
      <c r="P39" s="5"/>
      <c r="R39" s="6"/>
      <c r="S39" s="6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7"/>
      <c r="BN39" s="8"/>
      <c r="BO39" s="9"/>
    </row>
    <row r="40" spans="1:67" s="4" customFormat="1" x14ac:dyDescent="0.2">
      <c r="A40" s="2"/>
      <c r="B40" s="2"/>
      <c r="C40" s="2"/>
      <c r="D40" s="2"/>
      <c r="E40" s="2"/>
      <c r="F40" s="2"/>
      <c r="G40" s="2"/>
      <c r="H40" s="3"/>
      <c r="I40" s="3"/>
      <c r="J40" s="2"/>
      <c r="K40" s="51"/>
      <c r="O40" s="5"/>
      <c r="P40" s="5"/>
      <c r="R40" s="6"/>
      <c r="S40" s="6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7"/>
      <c r="BN40" s="8"/>
      <c r="BO40" s="9"/>
    </row>
    <row r="41" spans="1:67" s="4" customFormat="1" x14ac:dyDescent="0.2">
      <c r="A41" s="2"/>
      <c r="B41" s="2"/>
      <c r="C41" s="2"/>
      <c r="D41" s="2"/>
      <c r="E41" s="2"/>
      <c r="F41" s="2"/>
      <c r="G41" s="2"/>
      <c r="H41" s="3"/>
      <c r="I41" s="3"/>
      <c r="J41" s="2"/>
      <c r="K41" s="51"/>
      <c r="O41" s="5"/>
      <c r="P41" s="5"/>
      <c r="R41" s="6"/>
      <c r="S41" s="6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7"/>
      <c r="BN41" s="8"/>
      <c r="BO41" s="9"/>
    </row>
    <row r="42" spans="1:67" s="4" customFormat="1" x14ac:dyDescent="0.2">
      <c r="A42" s="2"/>
      <c r="B42" s="2"/>
      <c r="C42" s="2"/>
      <c r="D42" s="2"/>
      <c r="E42" s="2"/>
      <c r="F42" s="2"/>
      <c r="G42" s="2"/>
      <c r="H42" s="3"/>
      <c r="I42" s="3"/>
      <c r="J42" s="2"/>
      <c r="K42" s="51"/>
      <c r="O42" s="5"/>
      <c r="P42" s="5"/>
      <c r="R42" s="6"/>
      <c r="S42" s="6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7"/>
      <c r="BN42" s="8"/>
      <c r="BO42" s="9"/>
    </row>
    <row r="43" spans="1:67" s="4" customFormat="1" x14ac:dyDescent="0.2">
      <c r="A43" s="2"/>
      <c r="B43" s="2"/>
      <c r="C43" s="2"/>
      <c r="D43" s="2"/>
      <c r="E43" s="2"/>
      <c r="F43" s="2"/>
      <c r="G43" s="2"/>
      <c r="H43" s="3"/>
      <c r="I43" s="3"/>
      <c r="J43" s="2"/>
      <c r="K43" s="51"/>
      <c r="O43" s="5"/>
      <c r="P43" s="5"/>
      <c r="R43" s="6"/>
      <c r="S43" s="6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7"/>
      <c r="BN43" s="8"/>
      <c r="BO43" s="9"/>
    </row>
    <row r="44" spans="1:67" s="4" customFormat="1" x14ac:dyDescent="0.2">
      <c r="A44" s="2"/>
      <c r="B44" s="2"/>
      <c r="C44" s="2"/>
      <c r="D44" s="2"/>
      <c r="E44" s="2"/>
      <c r="F44" s="2"/>
      <c r="G44" s="2"/>
      <c r="H44" s="3"/>
      <c r="I44" s="3"/>
      <c r="J44" s="2"/>
      <c r="K44" s="51"/>
      <c r="O44" s="5"/>
      <c r="P44" s="5"/>
      <c r="R44" s="6"/>
      <c r="S44" s="6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7"/>
      <c r="BN44" s="8"/>
      <c r="BO44" s="9"/>
    </row>
    <row r="45" spans="1:67" s="4" customFormat="1" x14ac:dyDescent="0.2">
      <c r="A45" s="2"/>
      <c r="B45" s="2"/>
      <c r="C45" s="2"/>
      <c r="D45" s="2"/>
      <c r="E45" s="2"/>
      <c r="F45" s="2"/>
      <c r="G45" s="2"/>
      <c r="H45" s="3"/>
      <c r="I45" s="3"/>
      <c r="J45" s="2"/>
      <c r="K45" s="51"/>
      <c r="O45" s="5"/>
      <c r="P45" s="5"/>
      <c r="R45" s="6"/>
      <c r="S45" s="6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7"/>
      <c r="BN45" s="8"/>
      <c r="BO45" s="9"/>
    </row>
    <row r="46" spans="1:67" s="4" customFormat="1" x14ac:dyDescent="0.2">
      <c r="A46" s="2"/>
      <c r="B46" s="2"/>
      <c r="C46" s="2"/>
      <c r="D46" s="2"/>
      <c r="E46" s="2"/>
      <c r="F46" s="2"/>
      <c r="G46" s="2"/>
      <c r="H46" s="3"/>
      <c r="I46" s="3"/>
      <c r="J46" s="2"/>
      <c r="K46" s="51"/>
      <c r="O46" s="5"/>
      <c r="P46" s="5"/>
      <c r="R46" s="6"/>
      <c r="S46" s="6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7"/>
      <c r="BN46" s="8"/>
      <c r="BO46" s="9"/>
    </row>
    <row r="47" spans="1:67" s="4" customFormat="1" x14ac:dyDescent="0.2">
      <c r="A47" s="2"/>
      <c r="B47" s="2"/>
      <c r="C47" s="2"/>
      <c r="D47" s="2"/>
      <c r="E47" s="2"/>
      <c r="F47" s="2"/>
      <c r="G47" s="2"/>
      <c r="H47" s="3"/>
      <c r="I47" s="3"/>
      <c r="J47" s="2"/>
      <c r="K47" s="51"/>
      <c r="O47" s="5"/>
      <c r="P47" s="5"/>
      <c r="R47" s="6"/>
      <c r="S47" s="6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8"/>
      <c r="BO47" s="9"/>
    </row>
    <row r="48" spans="1:67" s="4" customFormat="1" x14ac:dyDescent="0.2">
      <c r="A48" s="2"/>
      <c r="B48" s="2"/>
      <c r="C48" s="2"/>
      <c r="D48" s="2"/>
      <c r="E48" s="2"/>
      <c r="F48" s="2"/>
      <c r="G48" s="2"/>
      <c r="H48" s="3"/>
      <c r="I48" s="3"/>
      <c r="J48" s="2"/>
      <c r="K48" s="51"/>
      <c r="O48" s="5"/>
      <c r="P48" s="5"/>
      <c r="R48" s="6"/>
      <c r="S48" s="6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8"/>
      <c r="BO48" s="9"/>
    </row>
    <row r="49" spans="1:67" s="4" customFormat="1" x14ac:dyDescent="0.2">
      <c r="A49" s="2"/>
      <c r="B49" s="2"/>
      <c r="C49" s="2"/>
      <c r="D49" s="2"/>
      <c r="E49" s="2"/>
      <c r="F49" s="2"/>
      <c r="G49" s="2"/>
      <c r="H49" s="3"/>
      <c r="I49" s="3"/>
      <c r="J49" s="2"/>
      <c r="K49" s="51"/>
      <c r="O49" s="5"/>
      <c r="P49" s="5"/>
      <c r="R49" s="6"/>
      <c r="S49" s="6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  <c r="BK49" s="7"/>
      <c r="BL49" s="7"/>
      <c r="BM49" s="7"/>
      <c r="BN49" s="8"/>
      <c r="BO49" s="9"/>
    </row>
    <row r="50" spans="1:67" s="4" customFormat="1" x14ac:dyDescent="0.2">
      <c r="A50" s="2"/>
      <c r="B50" s="2"/>
      <c r="C50" s="2"/>
      <c r="D50" s="2"/>
      <c r="E50" s="2"/>
      <c r="F50" s="2"/>
      <c r="G50" s="2"/>
      <c r="H50" s="3"/>
      <c r="I50" s="3"/>
      <c r="J50" s="2"/>
      <c r="K50" s="51"/>
      <c r="O50" s="5"/>
      <c r="P50" s="5"/>
      <c r="R50" s="6"/>
      <c r="S50" s="6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7"/>
      <c r="BM50" s="7"/>
      <c r="BN50" s="8"/>
      <c r="BO50" s="9"/>
    </row>
    <row r="51" spans="1:67" s="4" customFormat="1" x14ac:dyDescent="0.2">
      <c r="A51" s="2"/>
      <c r="B51" s="2"/>
      <c r="C51" s="2"/>
      <c r="D51" s="2"/>
      <c r="E51" s="2"/>
      <c r="F51" s="2"/>
      <c r="G51" s="2"/>
      <c r="H51" s="3"/>
      <c r="I51" s="3"/>
      <c r="J51" s="2"/>
      <c r="K51" s="51"/>
      <c r="O51" s="5"/>
      <c r="P51" s="5"/>
      <c r="R51" s="6"/>
      <c r="S51" s="6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7"/>
      <c r="BN51" s="8"/>
      <c r="BO51" s="9"/>
    </row>
    <row r="52" spans="1:67" s="4" customFormat="1" x14ac:dyDescent="0.2">
      <c r="A52" s="2"/>
      <c r="B52" s="2"/>
      <c r="C52" s="2"/>
      <c r="D52" s="2"/>
      <c r="E52" s="2"/>
      <c r="F52" s="2"/>
      <c r="G52" s="2"/>
      <c r="H52" s="3"/>
      <c r="I52" s="3"/>
      <c r="J52" s="2"/>
      <c r="K52" s="51"/>
      <c r="O52" s="5"/>
      <c r="P52" s="5"/>
      <c r="R52" s="6"/>
      <c r="S52" s="6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  <c r="BN52" s="8"/>
      <c r="BO52" s="9"/>
    </row>
    <row r="53" spans="1:67" s="4" customFormat="1" x14ac:dyDescent="0.2">
      <c r="A53" s="2"/>
      <c r="B53" s="2"/>
      <c r="C53" s="2"/>
      <c r="D53" s="2"/>
      <c r="E53" s="2"/>
      <c r="F53" s="2"/>
      <c r="G53" s="2"/>
      <c r="H53" s="3"/>
      <c r="I53" s="3"/>
      <c r="J53" s="2"/>
      <c r="K53" s="51"/>
      <c r="O53" s="5"/>
      <c r="P53" s="5"/>
      <c r="R53" s="6"/>
      <c r="S53" s="6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7"/>
      <c r="BN53" s="8"/>
      <c r="BO53" s="9"/>
    </row>
    <row r="54" spans="1:67" s="4" customFormat="1" x14ac:dyDescent="0.2">
      <c r="A54" s="2"/>
      <c r="B54" s="2"/>
      <c r="C54" s="2"/>
      <c r="D54" s="2"/>
      <c r="E54" s="2"/>
      <c r="F54" s="2"/>
      <c r="G54" s="2"/>
      <c r="H54" s="3"/>
      <c r="I54" s="3"/>
      <c r="J54" s="2"/>
      <c r="K54" s="51"/>
      <c r="O54" s="5"/>
      <c r="P54" s="5"/>
      <c r="R54" s="6"/>
      <c r="S54" s="6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  <c r="BN54" s="8"/>
      <c r="BO54" s="9"/>
    </row>
    <row r="55" spans="1:67" s="4" customFormat="1" x14ac:dyDescent="0.2">
      <c r="A55" s="2"/>
      <c r="B55" s="2"/>
      <c r="C55" s="2"/>
      <c r="D55" s="2"/>
      <c r="E55" s="2"/>
      <c r="F55" s="2"/>
      <c r="G55" s="2"/>
      <c r="H55" s="3"/>
      <c r="I55" s="3"/>
      <c r="J55" s="2"/>
      <c r="K55" s="51"/>
      <c r="O55" s="5"/>
      <c r="P55" s="5"/>
      <c r="R55" s="6"/>
      <c r="S55" s="6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7"/>
      <c r="BN55" s="8"/>
      <c r="BO55" s="9"/>
    </row>
    <row r="56" spans="1:67" s="4" customFormat="1" x14ac:dyDescent="0.2">
      <c r="A56" s="2"/>
      <c r="B56" s="2"/>
      <c r="C56" s="2"/>
      <c r="D56" s="2"/>
      <c r="E56" s="2"/>
      <c r="F56" s="2"/>
      <c r="G56" s="2"/>
      <c r="H56" s="3"/>
      <c r="I56" s="3"/>
      <c r="J56" s="2"/>
      <c r="K56" s="51"/>
      <c r="O56" s="5"/>
      <c r="P56" s="5"/>
      <c r="R56" s="6"/>
      <c r="S56" s="6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7"/>
      <c r="BN56" s="8"/>
      <c r="BO56" s="9"/>
    </row>
    <row r="57" spans="1:67" s="4" customFormat="1" x14ac:dyDescent="0.2">
      <c r="A57" s="2"/>
      <c r="B57" s="2"/>
      <c r="C57" s="2"/>
      <c r="D57" s="2"/>
      <c r="E57" s="2"/>
      <c r="F57" s="2"/>
      <c r="G57" s="2"/>
      <c r="H57" s="3"/>
      <c r="I57" s="3"/>
      <c r="J57" s="2"/>
      <c r="K57" s="51"/>
      <c r="O57" s="5"/>
      <c r="P57" s="5"/>
      <c r="R57" s="6"/>
      <c r="S57" s="6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  <c r="BK57" s="7"/>
      <c r="BL57" s="7"/>
      <c r="BM57" s="7"/>
      <c r="BN57" s="8"/>
      <c r="BO57" s="9"/>
    </row>
    <row r="58" spans="1:67" s="4" customFormat="1" x14ac:dyDescent="0.2">
      <c r="A58" s="2"/>
      <c r="B58" s="2"/>
      <c r="C58" s="2"/>
      <c r="D58" s="2"/>
      <c r="E58" s="2"/>
      <c r="F58" s="2"/>
      <c r="G58" s="2"/>
      <c r="H58" s="3"/>
      <c r="I58" s="3"/>
      <c r="J58" s="2"/>
      <c r="K58" s="51"/>
      <c r="O58" s="5"/>
      <c r="P58" s="5"/>
      <c r="R58" s="6"/>
      <c r="S58" s="6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  <c r="BK58" s="7"/>
      <c r="BL58" s="7"/>
      <c r="BM58" s="7"/>
      <c r="BN58" s="8"/>
      <c r="BO58" s="9"/>
    </row>
    <row r="59" spans="1:67" s="4" customFormat="1" x14ac:dyDescent="0.2">
      <c r="A59" s="2"/>
      <c r="B59" s="2"/>
      <c r="C59" s="2"/>
      <c r="D59" s="2"/>
      <c r="E59" s="2"/>
      <c r="F59" s="2"/>
      <c r="G59" s="2"/>
      <c r="H59" s="3"/>
      <c r="I59" s="3"/>
      <c r="J59" s="2"/>
      <c r="K59" s="51"/>
      <c r="O59" s="5"/>
      <c r="P59" s="5"/>
      <c r="R59" s="6"/>
      <c r="S59" s="6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7"/>
      <c r="BM59" s="7"/>
      <c r="BN59" s="8"/>
      <c r="BO59" s="9"/>
    </row>
    <row r="60" spans="1:67" s="4" customFormat="1" x14ac:dyDescent="0.2">
      <c r="A60" s="2"/>
      <c r="B60" s="2"/>
      <c r="C60" s="2"/>
      <c r="D60" s="2"/>
      <c r="E60" s="2"/>
      <c r="F60" s="2"/>
      <c r="G60" s="2"/>
      <c r="H60" s="3"/>
      <c r="I60" s="3"/>
      <c r="J60" s="2"/>
      <c r="K60" s="51"/>
      <c r="O60" s="5"/>
      <c r="P60" s="5"/>
      <c r="R60" s="6"/>
      <c r="S60" s="6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7"/>
      <c r="BN60" s="8"/>
      <c r="BO60" s="9"/>
    </row>
    <row r="61" spans="1:67" s="4" customFormat="1" x14ac:dyDescent="0.2">
      <c r="A61" s="2"/>
      <c r="B61" s="2"/>
      <c r="C61" s="2"/>
      <c r="D61" s="2"/>
      <c r="E61" s="2"/>
      <c r="F61" s="2"/>
      <c r="G61" s="2"/>
      <c r="H61" s="3"/>
      <c r="I61" s="3"/>
      <c r="J61" s="2"/>
      <c r="K61" s="51"/>
      <c r="O61" s="5"/>
      <c r="P61" s="5"/>
      <c r="R61" s="6"/>
      <c r="S61" s="6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8"/>
      <c r="BO61" s="9"/>
    </row>
    <row r="62" spans="1:67" s="4" customFormat="1" x14ac:dyDescent="0.2">
      <c r="A62" s="2"/>
      <c r="B62" s="2"/>
      <c r="C62" s="2"/>
      <c r="D62" s="2"/>
      <c r="E62" s="2"/>
      <c r="F62" s="2"/>
      <c r="G62" s="2"/>
      <c r="H62" s="3"/>
      <c r="I62" s="3"/>
      <c r="J62" s="2"/>
      <c r="K62" s="51"/>
      <c r="O62" s="5"/>
      <c r="P62" s="5"/>
      <c r="R62" s="6"/>
      <c r="S62" s="6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8"/>
      <c r="BO62" s="9"/>
    </row>
    <row r="63" spans="1:67" s="4" customFormat="1" x14ac:dyDescent="0.2">
      <c r="A63" s="2"/>
      <c r="B63" s="2"/>
      <c r="C63" s="2"/>
      <c r="D63" s="2"/>
      <c r="E63" s="2"/>
      <c r="F63" s="2"/>
      <c r="G63" s="2"/>
      <c r="H63" s="3"/>
      <c r="I63" s="3"/>
      <c r="J63" s="2"/>
      <c r="K63" s="51"/>
      <c r="O63" s="5"/>
      <c r="P63" s="5"/>
      <c r="R63" s="6"/>
      <c r="S63" s="6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7"/>
      <c r="BN63" s="8"/>
      <c r="BO63" s="9"/>
    </row>
    <row r="64" spans="1:67" s="4" customFormat="1" x14ac:dyDescent="0.2">
      <c r="A64" s="2"/>
      <c r="B64" s="2"/>
      <c r="C64" s="2"/>
      <c r="D64" s="2"/>
      <c r="E64" s="2"/>
      <c r="F64" s="2"/>
      <c r="G64" s="2"/>
      <c r="H64" s="3"/>
      <c r="I64" s="3"/>
      <c r="J64" s="2"/>
      <c r="K64" s="51"/>
      <c r="O64" s="5"/>
      <c r="P64" s="5"/>
      <c r="R64" s="6"/>
      <c r="S64" s="6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  <c r="BK64" s="7"/>
      <c r="BL64" s="7"/>
      <c r="BM64" s="7"/>
      <c r="BN64" s="8"/>
      <c r="BO64" s="9"/>
    </row>
    <row r="65" spans="1:67" s="4" customFormat="1" x14ac:dyDescent="0.2">
      <c r="A65" s="2"/>
      <c r="B65" s="2"/>
      <c r="C65" s="2"/>
      <c r="D65" s="2"/>
      <c r="E65" s="2"/>
      <c r="F65" s="2"/>
      <c r="G65" s="2"/>
      <c r="H65" s="3"/>
      <c r="I65" s="3"/>
      <c r="J65" s="2"/>
      <c r="K65" s="51"/>
      <c r="O65" s="5"/>
      <c r="P65" s="5"/>
      <c r="R65" s="6"/>
      <c r="S65" s="6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  <c r="BK65" s="7"/>
      <c r="BL65" s="7"/>
      <c r="BM65" s="7"/>
      <c r="BN65" s="8"/>
      <c r="BO65" s="9"/>
    </row>
    <row r="66" spans="1:67" s="4" customFormat="1" x14ac:dyDescent="0.2">
      <c r="A66" s="2"/>
      <c r="B66" s="2"/>
      <c r="C66" s="2"/>
      <c r="D66" s="2"/>
      <c r="E66" s="2"/>
      <c r="F66" s="2"/>
      <c r="G66" s="2"/>
      <c r="H66" s="3"/>
      <c r="I66" s="3"/>
      <c r="J66" s="2"/>
      <c r="K66" s="51"/>
      <c r="O66" s="5"/>
      <c r="P66" s="5"/>
      <c r="R66" s="6"/>
      <c r="S66" s="6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  <c r="BK66" s="7"/>
      <c r="BL66" s="7"/>
      <c r="BM66" s="7"/>
      <c r="BN66" s="8"/>
      <c r="BO66" s="9"/>
    </row>
    <row r="67" spans="1:67" s="4" customFormat="1" x14ac:dyDescent="0.2">
      <c r="A67" s="2"/>
      <c r="B67" s="2"/>
      <c r="C67" s="2"/>
      <c r="D67" s="2"/>
      <c r="E67" s="2"/>
      <c r="F67" s="2"/>
      <c r="G67" s="2"/>
      <c r="H67" s="3"/>
      <c r="I67" s="3"/>
      <c r="J67" s="2"/>
      <c r="K67" s="51"/>
      <c r="O67" s="5"/>
      <c r="P67" s="5"/>
      <c r="R67" s="6"/>
      <c r="S67" s="6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  <c r="BJ67" s="7"/>
      <c r="BK67" s="7"/>
      <c r="BL67" s="7"/>
      <c r="BM67" s="7"/>
      <c r="BN67" s="8"/>
      <c r="BO67" s="9"/>
    </row>
    <row r="68" spans="1:67" s="4" customFormat="1" x14ac:dyDescent="0.2">
      <c r="A68" s="2"/>
      <c r="B68" s="2"/>
      <c r="C68" s="2"/>
      <c r="D68" s="2"/>
      <c r="E68" s="2"/>
      <c r="F68" s="2"/>
      <c r="G68" s="2"/>
      <c r="H68" s="3"/>
      <c r="I68" s="3"/>
      <c r="J68" s="2"/>
      <c r="K68" s="51"/>
      <c r="O68" s="5"/>
      <c r="P68" s="5"/>
      <c r="R68" s="6"/>
      <c r="S68" s="6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  <c r="BK68" s="7"/>
      <c r="BL68" s="7"/>
      <c r="BM68" s="7"/>
      <c r="BN68" s="8"/>
      <c r="BO68" s="9"/>
    </row>
    <row r="69" spans="1:67" s="4" customFormat="1" x14ac:dyDescent="0.2">
      <c r="A69" s="2"/>
      <c r="B69" s="2"/>
      <c r="C69" s="2"/>
      <c r="D69" s="2"/>
      <c r="E69" s="2"/>
      <c r="F69" s="2"/>
      <c r="G69" s="2"/>
      <c r="H69" s="3"/>
      <c r="I69" s="3"/>
      <c r="J69" s="2"/>
      <c r="K69" s="51"/>
      <c r="O69" s="5"/>
      <c r="P69" s="5"/>
      <c r="R69" s="6"/>
      <c r="S69" s="6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  <c r="BK69" s="7"/>
      <c r="BL69" s="7"/>
      <c r="BM69" s="7"/>
      <c r="BN69" s="8"/>
      <c r="BO69" s="9"/>
    </row>
    <row r="70" spans="1:67" s="4" customFormat="1" x14ac:dyDescent="0.2">
      <c r="A70" s="2"/>
      <c r="B70" s="2"/>
      <c r="C70" s="2"/>
      <c r="D70" s="2"/>
      <c r="E70" s="2"/>
      <c r="F70" s="2"/>
      <c r="G70" s="2"/>
      <c r="H70" s="3"/>
      <c r="I70" s="3"/>
      <c r="J70" s="2"/>
      <c r="K70" s="51"/>
      <c r="O70" s="5"/>
      <c r="P70" s="5"/>
      <c r="R70" s="6"/>
      <c r="S70" s="6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  <c r="BK70" s="7"/>
      <c r="BL70" s="7"/>
      <c r="BM70" s="7"/>
      <c r="BN70" s="8"/>
      <c r="BO70" s="9"/>
    </row>
    <row r="71" spans="1:67" s="4" customFormat="1" x14ac:dyDescent="0.2">
      <c r="A71" s="2"/>
      <c r="B71" s="2"/>
      <c r="C71" s="2"/>
      <c r="D71" s="2"/>
      <c r="E71" s="2"/>
      <c r="F71" s="2"/>
      <c r="G71" s="2"/>
      <c r="H71" s="3"/>
      <c r="I71" s="3"/>
      <c r="J71" s="2"/>
      <c r="K71" s="51"/>
      <c r="O71" s="5"/>
      <c r="P71" s="5"/>
      <c r="R71" s="6"/>
      <c r="S71" s="6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  <c r="BK71" s="7"/>
      <c r="BL71" s="7"/>
      <c r="BM71" s="7"/>
      <c r="BN71" s="8"/>
      <c r="BO71" s="9"/>
    </row>
    <row r="72" spans="1:67" s="4" customFormat="1" x14ac:dyDescent="0.2">
      <c r="A72" s="2"/>
      <c r="B72" s="2"/>
      <c r="C72" s="2"/>
      <c r="D72" s="2"/>
      <c r="E72" s="2"/>
      <c r="F72" s="2"/>
      <c r="G72" s="2"/>
      <c r="H72" s="3"/>
      <c r="I72" s="3"/>
      <c r="J72" s="2"/>
      <c r="K72" s="51"/>
      <c r="O72" s="5"/>
      <c r="P72" s="5"/>
      <c r="R72" s="6"/>
      <c r="S72" s="6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  <c r="BM72" s="7"/>
      <c r="BN72" s="8"/>
      <c r="BO72" s="9"/>
    </row>
    <row r="73" spans="1:67" s="4" customFormat="1" x14ac:dyDescent="0.2">
      <c r="A73" s="2"/>
      <c r="B73" s="2"/>
      <c r="C73" s="2"/>
      <c r="D73" s="2"/>
      <c r="E73" s="2"/>
      <c r="F73" s="2"/>
      <c r="G73" s="2"/>
      <c r="H73" s="3"/>
      <c r="I73" s="3"/>
      <c r="J73" s="2"/>
      <c r="K73" s="51"/>
      <c r="O73" s="5"/>
      <c r="P73" s="5"/>
      <c r="R73" s="6"/>
      <c r="S73" s="6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7"/>
      <c r="BK73" s="7"/>
      <c r="BL73" s="7"/>
      <c r="BM73" s="7"/>
      <c r="BN73" s="8"/>
      <c r="BO73" s="9"/>
    </row>
    <row r="74" spans="1:67" s="4" customFormat="1" x14ac:dyDescent="0.2">
      <c r="A74" s="2"/>
      <c r="B74" s="2"/>
      <c r="C74" s="2"/>
      <c r="D74" s="2"/>
      <c r="E74" s="2"/>
      <c r="F74" s="2"/>
      <c r="G74" s="2"/>
      <c r="H74" s="3"/>
      <c r="I74" s="3"/>
      <c r="J74" s="2"/>
      <c r="K74" s="51"/>
      <c r="O74" s="5"/>
      <c r="P74" s="5"/>
      <c r="R74" s="6"/>
      <c r="S74" s="6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  <c r="BK74" s="7"/>
      <c r="BL74" s="7"/>
      <c r="BM74" s="7"/>
      <c r="BN74" s="8"/>
      <c r="BO74" s="9"/>
    </row>
    <row r="75" spans="1:67" s="4" customFormat="1" x14ac:dyDescent="0.2">
      <c r="A75" s="2"/>
      <c r="B75" s="2"/>
      <c r="C75" s="2"/>
      <c r="D75" s="2"/>
      <c r="E75" s="2"/>
      <c r="F75" s="2"/>
      <c r="G75" s="2"/>
      <c r="H75" s="3"/>
      <c r="I75" s="3"/>
      <c r="J75" s="2"/>
      <c r="K75" s="51"/>
      <c r="O75" s="5"/>
      <c r="P75" s="5"/>
      <c r="R75" s="6"/>
      <c r="S75" s="6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  <c r="BJ75" s="7"/>
      <c r="BK75" s="7"/>
      <c r="BL75" s="7"/>
      <c r="BM75" s="7"/>
      <c r="BN75" s="8"/>
      <c r="BO75" s="9"/>
    </row>
    <row r="76" spans="1:67" s="4" customFormat="1" x14ac:dyDescent="0.2">
      <c r="A76" s="2"/>
      <c r="B76" s="2"/>
      <c r="C76" s="2"/>
      <c r="D76" s="2"/>
      <c r="E76" s="2"/>
      <c r="F76" s="2"/>
      <c r="G76" s="2"/>
      <c r="H76" s="3"/>
      <c r="I76" s="3"/>
      <c r="J76" s="2"/>
      <c r="K76" s="51"/>
      <c r="O76" s="5"/>
      <c r="P76" s="5"/>
      <c r="R76" s="6"/>
      <c r="S76" s="6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  <c r="BK76" s="7"/>
      <c r="BL76" s="7"/>
      <c r="BM76" s="7"/>
      <c r="BN76" s="8"/>
      <c r="BO76" s="9"/>
    </row>
    <row r="77" spans="1:67" s="4" customFormat="1" x14ac:dyDescent="0.2">
      <c r="A77" s="2"/>
      <c r="B77" s="2"/>
      <c r="C77" s="2"/>
      <c r="D77" s="2"/>
      <c r="E77" s="2"/>
      <c r="F77" s="2"/>
      <c r="G77" s="2"/>
      <c r="H77" s="3"/>
      <c r="I77" s="3"/>
      <c r="J77" s="2"/>
      <c r="K77" s="51"/>
      <c r="O77" s="5"/>
      <c r="P77" s="5"/>
      <c r="R77" s="6"/>
      <c r="S77" s="6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  <c r="BK77" s="7"/>
      <c r="BL77" s="7"/>
      <c r="BM77" s="7"/>
      <c r="BN77" s="8"/>
      <c r="BO77" s="9"/>
    </row>
    <row r="78" spans="1:67" s="4" customFormat="1" x14ac:dyDescent="0.2">
      <c r="A78" s="2"/>
      <c r="B78" s="2"/>
      <c r="C78" s="2"/>
      <c r="D78" s="2"/>
      <c r="E78" s="2"/>
      <c r="F78" s="2"/>
      <c r="G78" s="2"/>
      <c r="H78" s="3"/>
      <c r="I78" s="3"/>
      <c r="J78" s="2"/>
      <c r="K78" s="51"/>
      <c r="O78" s="5"/>
      <c r="P78" s="5"/>
      <c r="R78" s="6"/>
      <c r="S78" s="6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  <c r="BK78" s="7"/>
      <c r="BL78" s="7"/>
      <c r="BM78" s="7"/>
      <c r="BN78" s="8"/>
      <c r="BO78" s="9"/>
    </row>
    <row r="79" spans="1:67" s="4" customFormat="1" x14ac:dyDescent="0.2">
      <c r="A79" s="2"/>
      <c r="B79" s="2"/>
      <c r="C79" s="2"/>
      <c r="D79" s="2"/>
      <c r="E79" s="2"/>
      <c r="F79" s="2"/>
      <c r="G79" s="2"/>
      <c r="H79" s="3"/>
      <c r="I79" s="3"/>
      <c r="J79" s="2"/>
      <c r="K79" s="51"/>
      <c r="O79" s="5"/>
      <c r="P79" s="5"/>
      <c r="R79" s="6"/>
      <c r="S79" s="6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7"/>
      <c r="BN79" s="8"/>
      <c r="BO79" s="9"/>
    </row>
    <row r="80" spans="1:67" s="4" customFormat="1" x14ac:dyDescent="0.2">
      <c r="A80" s="2"/>
      <c r="B80" s="2"/>
      <c r="C80" s="2"/>
      <c r="D80" s="2"/>
      <c r="E80" s="2"/>
      <c r="F80" s="2"/>
      <c r="G80" s="2"/>
      <c r="H80" s="3"/>
      <c r="I80" s="3"/>
      <c r="J80" s="2"/>
      <c r="K80" s="51"/>
      <c r="O80" s="5"/>
      <c r="P80" s="5"/>
      <c r="R80" s="6"/>
      <c r="S80" s="6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  <c r="BM80" s="7"/>
      <c r="BN80" s="8"/>
      <c r="BO80" s="9"/>
    </row>
    <row r="81" spans="1:67" s="4" customFormat="1" x14ac:dyDescent="0.2">
      <c r="A81" s="2"/>
      <c r="B81" s="2"/>
      <c r="C81" s="2"/>
      <c r="D81" s="2"/>
      <c r="E81" s="2"/>
      <c r="F81" s="2"/>
      <c r="G81" s="2"/>
      <c r="H81" s="3"/>
      <c r="I81" s="3"/>
      <c r="J81" s="2"/>
      <c r="K81" s="51"/>
      <c r="O81" s="5"/>
      <c r="P81" s="5"/>
      <c r="R81" s="6"/>
      <c r="S81" s="6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  <c r="BM81" s="7"/>
      <c r="BN81" s="8"/>
      <c r="BO81" s="9"/>
    </row>
    <row r="82" spans="1:67" s="4" customFormat="1" x14ac:dyDescent="0.2">
      <c r="A82" s="2"/>
      <c r="B82" s="2"/>
      <c r="C82" s="2"/>
      <c r="D82" s="2"/>
      <c r="E82" s="2"/>
      <c r="F82" s="2"/>
      <c r="G82" s="2"/>
      <c r="H82" s="3"/>
      <c r="I82" s="3"/>
      <c r="J82" s="2"/>
      <c r="K82" s="51"/>
      <c r="O82" s="5"/>
      <c r="P82" s="5"/>
      <c r="R82" s="6"/>
      <c r="S82" s="6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  <c r="BM82" s="7"/>
      <c r="BN82" s="8"/>
      <c r="BO82" s="9"/>
    </row>
    <row r="83" spans="1:67" s="4" customFormat="1" x14ac:dyDescent="0.2">
      <c r="A83" s="2"/>
      <c r="B83" s="2"/>
      <c r="C83" s="2"/>
      <c r="D83" s="2"/>
      <c r="E83" s="2"/>
      <c r="F83" s="2"/>
      <c r="G83" s="2"/>
      <c r="H83" s="3"/>
      <c r="I83" s="3"/>
      <c r="J83" s="2"/>
      <c r="K83" s="51"/>
      <c r="O83" s="5"/>
      <c r="P83" s="5"/>
      <c r="R83" s="6"/>
      <c r="S83" s="6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7"/>
      <c r="BL83" s="7"/>
      <c r="BM83" s="7"/>
      <c r="BN83" s="8"/>
      <c r="BO83" s="9"/>
    </row>
    <row r="84" spans="1:67" s="4" customFormat="1" x14ac:dyDescent="0.2">
      <c r="A84" s="2"/>
      <c r="B84" s="2"/>
      <c r="C84" s="2"/>
      <c r="D84" s="2"/>
      <c r="E84" s="2"/>
      <c r="F84" s="2"/>
      <c r="G84" s="2"/>
      <c r="H84" s="3"/>
      <c r="I84" s="3"/>
      <c r="J84" s="2"/>
      <c r="K84" s="51"/>
      <c r="O84" s="5"/>
      <c r="P84" s="5"/>
      <c r="R84" s="6"/>
      <c r="S84" s="6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7"/>
      <c r="BN84" s="8"/>
      <c r="BO84" s="9"/>
    </row>
    <row r="85" spans="1:67" s="4" customFormat="1" x14ac:dyDescent="0.2">
      <c r="A85" s="2"/>
      <c r="B85" s="2"/>
      <c r="C85" s="2"/>
      <c r="D85" s="2"/>
      <c r="E85" s="2"/>
      <c r="F85" s="2"/>
      <c r="G85" s="2"/>
      <c r="H85" s="3"/>
      <c r="I85" s="3"/>
      <c r="J85" s="2"/>
      <c r="K85" s="51"/>
      <c r="O85" s="5"/>
      <c r="P85" s="5"/>
      <c r="R85" s="6"/>
      <c r="S85" s="6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7"/>
      <c r="BN85" s="8"/>
      <c r="BO85" s="9"/>
    </row>
    <row r="86" spans="1:67" s="4" customFormat="1" x14ac:dyDescent="0.2">
      <c r="A86" s="2"/>
      <c r="B86" s="2"/>
      <c r="C86" s="2"/>
      <c r="D86" s="2"/>
      <c r="E86" s="2"/>
      <c r="F86" s="2"/>
      <c r="G86" s="2"/>
      <c r="H86" s="3"/>
      <c r="I86" s="3"/>
      <c r="J86" s="2"/>
      <c r="K86" s="51"/>
      <c r="O86" s="5"/>
      <c r="P86" s="5"/>
      <c r="R86" s="6"/>
      <c r="S86" s="6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7"/>
      <c r="BN86" s="8"/>
      <c r="BO86" s="9"/>
    </row>
    <row r="87" spans="1:67" s="4" customFormat="1" x14ac:dyDescent="0.2">
      <c r="A87" s="2"/>
      <c r="B87" s="2"/>
      <c r="C87" s="2"/>
      <c r="D87" s="2"/>
      <c r="E87" s="2"/>
      <c r="F87" s="2"/>
      <c r="G87" s="2"/>
      <c r="H87" s="3"/>
      <c r="I87" s="3"/>
      <c r="J87" s="2"/>
      <c r="K87" s="51"/>
      <c r="O87" s="5"/>
      <c r="P87" s="5"/>
      <c r="R87" s="6"/>
      <c r="S87" s="6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7"/>
      <c r="BN87" s="8"/>
      <c r="BO87" s="9"/>
    </row>
    <row r="88" spans="1:67" s="4" customFormat="1" x14ac:dyDescent="0.2">
      <c r="A88" s="2"/>
      <c r="B88" s="2"/>
      <c r="C88" s="2"/>
      <c r="D88" s="2"/>
      <c r="E88" s="2"/>
      <c r="F88" s="2"/>
      <c r="G88" s="2"/>
      <c r="H88" s="3"/>
      <c r="I88" s="3"/>
      <c r="J88" s="2"/>
      <c r="K88" s="51"/>
      <c r="O88" s="5"/>
      <c r="P88" s="5"/>
      <c r="R88" s="6"/>
      <c r="S88" s="6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7"/>
      <c r="BN88" s="8"/>
      <c r="BO88" s="9"/>
    </row>
    <row r="89" spans="1:67" s="4" customFormat="1" x14ac:dyDescent="0.2">
      <c r="A89" s="2"/>
      <c r="B89" s="2"/>
      <c r="C89" s="2"/>
      <c r="D89" s="2"/>
      <c r="E89" s="2"/>
      <c r="F89" s="2"/>
      <c r="G89" s="2"/>
      <c r="H89" s="3"/>
      <c r="I89" s="3"/>
      <c r="J89" s="2"/>
      <c r="K89" s="51"/>
      <c r="O89" s="5"/>
      <c r="P89" s="5"/>
      <c r="R89" s="6"/>
      <c r="S89" s="6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7"/>
      <c r="BN89" s="8"/>
      <c r="BO89" s="9"/>
    </row>
    <row r="90" spans="1:67" s="4" customFormat="1" x14ac:dyDescent="0.2">
      <c r="A90" s="2"/>
      <c r="B90" s="2"/>
      <c r="C90" s="2"/>
      <c r="D90" s="2"/>
      <c r="E90" s="2"/>
      <c r="F90" s="2"/>
      <c r="G90" s="2"/>
      <c r="H90" s="3"/>
      <c r="I90" s="3"/>
      <c r="J90" s="2"/>
      <c r="K90" s="51"/>
      <c r="O90" s="5"/>
      <c r="P90" s="5"/>
      <c r="R90" s="6"/>
      <c r="S90" s="6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7"/>
      <c r="BN90" s="8"/>
      <c r="BO90" s="9"/>
    </row>
    <row r="91" spans="1:67" s="4" customFormat="1" x14ac:dyDescent="0.2">
      <c r="A91" s="2"/>
      <c r="B91" s="2"/>
      <c r="C91" s="2"/>
      <c r="D91" s="2"/>
      <c r="E91" s="2"/>
      <c r="F91" s="2"/>
      <c r="G91" s="2"/>
      <c r="H91" s="3"/>
      <c r="I91" s="3"/>
      <c r="J91" s="2"/>
      <c r="K91" s="51"/>
      <c r="O91" s="5"/>
      <c r="P91" s="5"/>
      <c r="R91" s="6"/>
      <c r="S91" s="6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7"/>
      <c r="BN91" s="8"/>
      <c r="BO91" s="9"/>
    </row>
    <row r="92" spans="1:67" s="4" customFormat="1" x14ac:dyDescent="0.2">
      <c r="A92" s="2"/>
      <c r="B92" s="2"/>
      <c r="C92" s="2"/>
      <c r="D92" s="2"/>
      <c r="E92" s="2"/>
      <c r="F92" s="2"/>
      <c r="G92" s="2"/>
      <c r="H92" s="3"/>
      <c r="I92" s="3"/>
      <c r="J92" s="2"/>
      <c r="K92" s="51"/>
      <c r="O92" s="5"/>
      <c r="P92" s="5"/>
      <c r="R92" s="6"/>
      <c r="S92" s="6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7"/>
      <c r="BN92" s="8"/>
      <c r="BO92" s="9"/>
    </row>
    <row r="93" spans="1:67" s="4" customFormat="1" x14ac:dyDescent="0.2">
      <c r="A93" s="2"/>
      <c r="B93" s="2"/>
      <c r="C93" s="2"/>
      <c r="D93" s="2"/>
      <c r="E93" s="2"/>
      <c r="F93" s="2"/>
      <c r="G93" s="2"/>
      <c r="H93" s="3"/>
      <c r="I93" s="3"/>
      <c r="J93" s="2"/>
      <c r="K93" s="51"/>
      <c r="O93" s="5"/>
      <c r="P93" s="5"/>
      <c r="R93" s="6"/>
      <c r="S93" s="6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7"/>
      <c r="BN93" s="8"/>
      <c r="BO93" s="9"/>
    </row>
    <row r="94" spans="1:67" s="4" customFormat="1" x14ac:dyDescent="0.2">
      <c r="A94" s="2"/>
      <c r="B94" s="2"/>
      <c r="C94" s="2"/>
      <c r="D94" s="2"/>
      <c r="E94" s="2"/>
      <c r="F94" s="2"/>
      <c r="G94" s="2"/>
      <c r="H94" s="3"/>
      <c r="I94" s="3"/>
      <c r="J94" s="2"/>
      <c r="K94" s="51"/>
      <c r="O94" s="5"/>
      <c r="P94" s="5"/>
      <c r="R94" s="6"/>
      <c r="S94" s="6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7"/>
      <c r="BN94" s="8"/>
      <c r="BO94" s="9"/>
    </row>
    <row r="95" spans="1:67" s="4" customFormat="1" x14ac:dyDescent="0.2">
      <c r="A95" s="2"/>
      <c r="B95" s="2"/>
      <c r="C95" s="2"/>
      <c r="D95" s="2"/>
      <c r="E95" s="2"/>
      <c r="F95" s="2"/>
      <c r="G95" s="2"/>
      <c r="H95" s="3"/>
      <c r="I95" s="3"/>
      <c r="J95" s="2"/>
      <c r="K95" s="51"/>
      <c r="O95" s="5"/>
      <c r="P95" s="5"/>
      <c r="R95" s="6"/>
      <c r="S95" s="6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7"/>
      <c r="BN95" s="8"/>
      <c r="BO95" s="9"/>
    </row>
    <row r="96" spans="1:67" s="4" customFormat="1" x14ac:dyDescent="0.2">
      <c r="A96" s="2"/>
      <c r="B96" s="2"/>
      <c r="C96" s="2"/>
      <c r="D96" s="2"/>
      <c r="E96" s="2"/>
      <c r="F96" s="2"/>
      <c r="G96" s="2"/>
      <c r="H96" s="3"/>
      <c r="I96" s="3"/>
      <c r="J96" s="2"/>
      <c r="K96" s="51"/>
      <c r="O96" s="5"/>
      <c r="P96" s="5"/>
      <c r="R96" s="6"/>
      <c r="S96" s="6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7"/>
      <c r="BN96" s="8"/>
      <c r="BO96" s="9"/>
    </row>
    <row r="97" spans="1:67" s="4" customFormat="1" x14ac:dyDescent="0.2">
      <c r="A97" s="2"/>
      <c r="B97" s="2"/>
      <c r="C97" s="2"/>
      <c r="D97" s="2"/>
      <c r="E97" s="2"/>
      <c r="F97" s="2"/>
      <c r="G97" s="2"/>
      <c r="H97" s="3"/>
      <c r="I97" s="3"/>
      <c r="J97" s="2"/>
      <c r="K97" s="51"/>
      <c r="O97" s="5"/>
      <c r="P97" s="5"/>
      <c r="R97" s="6"/>
      <c r="S97" s="6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7"/>
      <c r="BN97" s="8"/>
      <c r="BO97" s="9"/>
    </row>
    <row r="98" spans="1:67" s="4" customFormat="1" x14ac:dyDescent="0.2">
      <c r="A98" s="2"/>
      <c r="B98" s="2"/>
      <c r="C98" s="2"/>
      <c r="D98" s="2"/>
      <c r="E98" s="2"/>
      <c r="F98" s="2"/>
      <c r="G98" s="2"/>
      <c r="H98" s="3"/>
      <c r="I98" s="3"/>
      <c r="J98" s="2"/>
      <c r="K98" s="51"/>
      <c r="O98" s="5"/>
      <c r="P98" s="5"/>
      <c r="R98" s="6"/>
      <c r="S98" s="6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7"/>
      <c r="BN98" s="8"/>
      <c r="BO98" s="9"/>
    </row>
    <row r="99" spans="1:67" s="4" customFormat="1" x14ac:dyDescent="0.2">
      <c r="A99" s="2"/>
      <c r="B99" s="2"/>
      <c r="C99" s="2"/>
      <c r="D99" s="2"/>
      <c r="E99" s="2"/>
      <c r="F99" s="2"/>
      <c r="G99" s="2"/>
      <c r="H99" s="3"/>
      <c r="I99" s="3"/>
      <c r="J99" s="2"/>
      <c r="K99" s="51"/>
      <c r="O99" s="5"/>
      <c r="P99" s="5"/>
      <c r="R99" s="6"/>
      <c r="S99" s="6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7"/>
      <c r="BN99" s="8"/>
      <c r="BO99" s="9"/>
    </row>
    <row r="100" spans="1:67" s="4" customFormat="1" x14ac:dyDescent="0.2">
      <c r="A100" s="2"/>
      <c r="B100" s="2"/>
      <c r="C100" s="2"/>
      <c r="D100" s="2"/>
      <c r="E100" s="2"/>
      <c r="F100" s="2"/>
      <c r="G100" s="2"/>
      <c r="H100" s="3"/>
      <c r="I100" s="3"/>
      <c r="J100" s="2"/>
      <c r="K100" s="51"/>
      <c r="O100" s="5"/>
      <c r="P100" s="5"/>
      <c r="R100" s="6"/>
      <c r="S100" s="6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7"/>
      <c r="BN100" s="8"/>
      <c r="BO100" s="9"/>
    </row>
    <row r="101" spans="1:67" s="4" customFormat="1" x14ac:dyDescent="0.2">
      <c r="A101" s="2"/>
      <c r="B101" s="2"/>
      <c r="C101" s="2"/>
      <c r="D101" s="2"/>
      <c r="E101" s="2"/>
      <c r="F101" s="2"/>
      <c r="G101" s="2"/>
      <c r="H101" s="3"/>
      <c r="I101" s="3"/>
      <c r="J101" s="2"/>
      <c r="K101" s="51"/>
      <c r="O101" s="5"/>
      <c r="P101" s="5"/>
      <c r="R101" s="6"/>
      <c r="S101" s="6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7"/>
      <c r="BN101" s="8"/>
      <c r="BO101" s="9"/>
    </row>
    <row r="102" spans="1:67" s="4" customFormat="1" x14ac:dyDescent="0.2">
      <c r="A102" s="2"/>
      <c r="B102" s="2"/>
      <c r="C102" s="2"/>
      <c r="D102" s="2"/>
      <c r="E102" s="2"/>
      <c r="F102" s="2"/>
      <c r="G102" s="2"/>
      <c r="H102" s="3"/>
      <c r="I102" s="3"/>
      <c r="J102" s="2"/>
      <c r="K102" s="51"/>
      <c r="O102" s="5"/>
      <c r="P102" s="5"/>
      <c r="R102" s="6"/>
      <c r="S102" s="6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7"/>
      <c r="BN102" s="8"/>
      <c r="BO102" s="9"/>
    </row>
    <row r="103" spans="1:67" s="4" customFormat="1" x14ac:dyDescent="0.2">
      <c r="A103" s="2"/>
      <c r="B103" s="2"/>
      <c r="C103" s="2"/>
      <c r="D103" s="2"/>
      <c r="E103" s="2"/>
      <c r="F103" s="2"/>
      <c r="G103" s="2"/>
      <c r="H103" s="3"/>
      <c r="I103" s="3"/>
      <c r="J103" s="2"/>
      <c r="K103" s="51"/>
      <c r="O103" s="5"/>
      <c r="P103" s="5"/>
      <c r="R103" s="6"/>
      <c r="S103" s="6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7"/>
      <c r="BN103" s="8"/>
      <c r="BO103" s="9"/>
    </row>
    <row r="104" spans="1:67" s="4" customFormat="1" x14ac:dyDescent="0.2">
      <c r="A104" s="2"/>
      <c r="B104" s="2"/>
      <c r="C104" s="2"/>
      <c r="D104" s="2"/>
      <c r="E104" s="2"/>
      <c r="F104" s="2"/>
      <c r="G104" s="2"/>
      <c r="H104" s="3"/>
      <c r="I104" s="3"/>
      <c r="J104" s="2"/>
      <c r="K104" s="51"/>
      <c r="O104" s="5"/>
      <c r="P104" s="5"/>
      <c r="R104" s="6"/>
      <c r="S104" s="6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7"/>
      <c r="BN104" s="8"/>
      <c r="BO104" s="9"/>
    </row>
    <row r="105" spans="1:67" s="4" customFormat="1" x14ac:dyDescent="0.2">
      <c r="A105" s="2"/>
      <c r="B105" s="2"/>
      <c r="C105" s="2"/>
      <c r="D105" s="2"/>
      <c r="E105" s="2"/>
      <c r="F105" s="2"/>
      <c r="G105" s="2"/>
      <c r="H105" s="3"/>
      <c r="I105" s="3"/>
      <c r="J105" s="2"/>
      <c r="K105" s="51"/>
      <c r="O105" s="5"/>
      <c r="P105" s="5"/>
      <c r="R105" s="6"/>
      <c r="S105" s="6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7"/>
      <c r="BN105" s="8"/>
      <c r="BO105" s="9"/>
    </row>
    <row r="106" spans="1:67" s="4" customFormat="1" x14ac:dyDescent="0.2">
      <c r="A106" s="2"/>
      <c r="B106" s="2"/>
      <c r="C106" s="2"/>
      <c r="D106" s="2"/>
      <c r="E106" s="2"/>
      <c r="F106" s="2"/>
      <c r="G106" s="2"/>
      <c r="H106" s="3"/>
      <c r="I106" s="3"/>
      <c r="J106" s="2"/>
      <c r="K106" s="51"/>
      <c r="O106" s="5"/>
      <c r="P106" s="5"/>
      <c r="R106" s="6"/>
      <c r="S106" s="6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7"/>
      <c r="BN106" s="8"/>
      <c r="BO106" s="9"/>
    </row>
    <row r="107" spans="1:67" s="4" customFormat="1" x14ac:dyDescent="0.2">
      <c r="A107" s="2"/>
      <c r="B107" s="2"/>
      <c r="C107" s="2"/>
      <c r="D107" s="2"/>
      <c r="E107" s="2"/>
      <c r="F107" s="2"/>
      <c r="G107" s="2"/>
      <c r="H107" s="3"/>
      <c r="I107" s="3"/>
      <c r="J107" s="2"/>
      <c r="K107" s="51"/>
      <c r="O107" s="5"/>
      <c r="P107" s="5"/>
      <c r="R107" s="6"/>
      <c r="S107" s="6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7"/>
      <c r="BN107" s="8"/>
      <c r="BO107" s="9"/>
    </row>
    <row r="108" spans="1:67" s="4" customFormat="1" x14ac:dyDescent="0.2">
      <c r="A108" s="2"/>
      <c r="B108" s="2"/>
      <c r="C108" s="2"/>
      <c r="D108" s="2"/>
      <c r="E108" s="2"/>
      <c r="F108" s="2"/>
      <c r="G108" s="2"/>
      <c r="H108" s="3"/>
      <c r="I108" s="3"/>
      <c r="J108" s="2"/>
      <c r="K108" s="51"/>
      <c r="O108" s="5"/>
      <c r="P108" s="5"/>
      <c r="R108" s="6"/>
      <c r="S108" s="6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7"/>
      <c r="BN108" s="8"/>
      <c r="BO108" s="9"/>
    </row>
    <row r="109" spans="1:67" s="4" customFormat="1" x14ac:dyDescent="0.2">
      <c r="A109" s="2"/>
      <c r="B109" s="2"/>
      <c r="C109" s="2"/>
      <c r="D109" s="2"/>
      <c r="E109" s="2"/>
      <c r="F109" s="2"/>
      <c r="G109" s="2"/>
      <c r="H109" s="3"/>
      <c r="I109" s="3"/>
      <c r="J109" s="2"/>
      <c r="K109" s="51"/>
      <c r="O109" s="5"/>
      <c r="P109" s="5"/>
      <c r="R109" s="6"/>
      <c r="S109" s="6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7"/>
      <c r="BN109" s="8"/>
      <c r="BO109" s="9"/>
    </row>
    <row r="110" spans="1:67" s="4" customFormat="1" x14ac:dyDescent="0.2">
      <c r="A110" s="2"/>
      <c r="B110" s="2"/>
      <c r="C110" s="2"/>
      <c r="D110" s="2"/>
      <c r="E110" s="2"/>
      <c r="F110" s="2"/>
      <c r="G110" s="2"/>
      <c r="H110" s="3"/>
      <c r="I110" s="3"/>
      <c r="J110" s="2"/>
      <c r="K110" s="51"/>
      <c r="O110" s="5"/>
      <c r="P110" s="5"/>
      <c r="R110" s="6"/>
      <c r="S110" s="6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7"/>
      <c r="BN110" s="8"/>
      <c r="BO110" s="9"/>
    </row>
    <row r="111" spans="1:67" s="4" customFormat="1" x14ac:dyDescent="0.2">
      <c r="A111" s="2"/>
      <c r="B111" s="2"/>
      <c r="C111" s="2"/>
      <c r="D111" s="2"/>
      <c r="E111" s="2"/>
      <c r="F111" s="2"/>
      <c r="G111" s="2"/>
      <c r="H111" s="3"/>
      <c r="I111" s="3"/>
      <c r="J111" s="2"/>
      <c r="K111" s="51"/>
      <c r="O111" s="5"/>
      <c r="P111" s="5"/>
      <c r="R111" s="6"/>
      <c r="S111" s="6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7"/>
      <c r="BN111" s="8"/>
      <c r="BO111" s="9"/>
    </row>
    <row r="112" spans="1:67" s="4" customFormat="1" x14ac:dyDescent="0.2">
      <c r="A112" s="2"/>
      <c r="B112" s="2"/>
      <c r="C112" s="2"/>
      <c r="D112" s="2"/>
      <c r="E112" s="2"/>
      <c r="F112" s="2"/>
      <c r="G112" s="2"/>
      <c r="H112" s="3"/>
      <c r="I112" s="3"/>
      <c r="J112" s="2"/>
      <c r="K112" s="51"/>
      <c r="O112" s="5"/>
      <c r="P112" s="5"/>
      <c r="R112" s="6"/>
      <c r="S112" s="6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  <c r="BK112" s="7"/>
      <c r="BL112" s="7"/>
      <c r="BM112" s="7"/>
      <c r="BN112" s="8"/>
      <c r="BO112" s="9"/>
    </row>
    <row r="113" spans="1:67" s="4" customFormat="1" x14ac:dyDescent="0.2">
      <c r="A113" s="2"/>
      <c r="B113" s="2"/>
      <c r="C113" s="2"/>
      <c r="D113" s="2"/>
      <c r="E113" s="2"/>
      <c r="F113" s="2"/>
      <c r="G113" s="2"/>
      <c r="H113" s="3"/>
      <c r="I113" s="3"/>
      <c r="J113" s="2"/>
      <c r="K113" s="51"/>
      <c r="O113" s="5"/>
      <c r="P113" s="5"/>
      <c r="R113" s="6"/>
      <c r="S113" s="6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7"/>
      <c r="BN113" s="8"/>
      <c r="BO113" s="9"/>
    </row>
    <row r="114" spans="1:67" s="4" customFormat="1" x14ac:dyDescent="0.2">
      <c r="A114" s="2"/>
      <c r="B114" s="2"/>
      <c r="C114" s="2"/>
      <c r="D114" s="2"/>
      <c r="E114" s="2"/>
      <c r="F114" s="2"/>
      <c r="G114" s="2"/>
      <c r="H114" s="3"/>
      <c r="I114" s="3"/>
      <c r="J114" s="2"/>
      <c r="K114" s="51"/>
      <c r="O114" s="5"/>
      <c r="P114" s="5"/>
      <c r="R114" s="6"/>
      <c r="S114" s="6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7"/>
      <c r="BL114" s="7"/>
      <c r="BM114" s="7"/>
      <c r="BN114" s="8"/>
      <c r="BO114" s="9"/>
    </row>
    <row r="115" spans="1:67" s="4" customFormat="1" x14ac:dyDescent="0.2">
      <c r="A115" s="2"/>
      <c r="B115" s="2"/>
      <c r="C115" s="2"/>
      <c r="D115" s="2"/>
      <c r="E115" s="2"/>
      <c r="F115" s="2"/>
      <c r="G115" s="2"/>
      <c r="H115" s="3"/>
      <c r="I115" s="3"/>
      <c r="J115" s="2"/>
      <c r="K115" s="51"/>
      <c r="O115" s="5"/>
      <c r="P115" s="5"/>
      <c r="R115" s="6"/>
      <c r="S115" s="6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7"/>
      <c r="BN115" s="8"/>
      <c r="BO115" s="9"/>
    </row>
    <row r="116" spans="1:67" s="4" customFormat="1" x14ac:dyDescent="0.2">
      <c r="A116" s="2"/>
      <c r="B116" s="2"/>
      <c r="C116" s="2"/>
      <c r="D116" s="2"/>
      <c r="E116" s="2"/>
      <c r="F116" s="2"/>
      <c r="G116" s="2"/>
      <c r="H116" s="3"/>
      <c r="I116" s="3"/>
      <c r="J116" s="2"/>
      <c r="K116" s="51"/>
      <c r="O116" s="5"/>
      <c r="P116" s="5"/>
      <c r="R116" s="6"/>
      <c r="S116" s="6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7"/>
      <c r="BN116" s="8"/>
      <c r="BO116" s="9"/>
    </row>
    <row r="117" spans="1:67" s="4" customFormat="1" x14ac:dyDescent="0.2">
      <c r="A117" s="2"/>
      <c r="B117" s="2"/>
      <c r="C117" s="2"/>
      <c r="D117" s="2"/>
      <c r="E117" s="2"/>
      <c r="F117" s="2"/>
      <c r="G117" s="2"/>
      <c r="H117" s="3"/>
      <c r="I117" s="3"/>
      <c r="J117" s="2"/>
      <c r="K117" s="51"/>
      <c r="O117" s="5"/>
      <c r="P117" s="5"/>
      <c r="R117" s="6"/>
      <c r="S117" s="6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  <c r="BK117" s="7"/>
      <c r="BL117" s="7"/>
      <c r="BM117" s="7"/>
      <c r="BN117" s="8"/>
      <c r="BO117" s="9"/>
    </row>
    <row r="118" spans="1:67" s="4" customFormat="1" x14ac:dyDescent="0.2">
      <c r="A118" s="2"/>
      <c r="B118" s="2"/>
      <c r="C118" s="2"/>
      <c r="D118" s="2"/>
      <c r="E118" s="2"/>
      <c r="F118" s="2"/>
      <c r="G118" s="2"/>
      <c r="H118" s="3"/>
      <c r="I118" s="3"/>
      <c r="J118" s="2"/>
      <c r="K118" s="51"/>
      <c r="O118" s="5"/>
      <c r="P118" s="5"/>
      <c r="R118" s="6"/>
      <c r="S118" s="6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7"/>
      <c r="BN118" s="8"/>
      <c r="BO118" s="9"/>
    </row>
    <row r="119" spans="1:67" s="4" customFormat="1" x14ac:dyDescent="0.2">
      <c r="A119" s="2"/>
      <c r="B119" s="2"/>
      <c r="C119" s="2"/>
      <c r="D119" s="2"/>
      <c r="E119" s="2"/>
      <c r="F119" s="2"/>
      <c r="G119" s="2"/>
      <c r="H119" s="3"/>
      <c r="I119" s="3"/>
      <c r="J119" s="2"/>
      <c r="K119" s="51"/>
      <c r="O119" s="5"/>
      <c r="P119" s="5"/>
      <c r="R119" s="6"/>
      <c r="S119" s="6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7"/>
      <c r="BN119" s="8"/>
      <c r="BO119" s="9"/>
    </row>
    <row r="120" spans="1:67" s="4" customFormat="1" x14ac:dyDescent="0.2">
      <c r="A120" s="2"/>
      <c r="B120" s="2"/>
      <c r="C120" s="2"/>
      <c r="D120" s="2"/>
      <c r="E120" s="2"/>
      <c r="F120" s="2"/>
      <c r="G120" s="2"/>
      <c r="H120" s="3"/>
      <c r="I120" s="3"/>
      <c r="J120" s="2"/>
      <c r="K120" s="51"/>
      <c r="O120" s="5"/>
      <c r="P120" s="5"/>
      <c r="R120" s="6"/>
      <c r="S120" s="6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  <c r="BM120" s="7"/>
      <c r="BN120" s="8"/>
      <c r="BO120" s="9"/>
    </row>
    <row r="121" spans="1:67" s="4" customFormat="1" x14ac:dyDescent="0.2">
      <c r="A121" s="2"/>
      <c r="B121" s="2"/>
      <c r="C121" s="2"/>
      <c r="D121" s="2"/>
      <c r="E121" s="2"/>
      <c r="F121" s="2"/>
      <c r="G121" s="2"/>
      <c r="H121" s="3"/>
      <c r="I121" s="3"/>
      <c r="J121" s="2"/>
      <c r="K121" s="51"/>
      <c r="O121" s="5"/>
      <c r="P121" s="5"/>
      <c r="R121" s="6"/>
      <c r="S121" s="6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7"/>
      <c r="BM121" s="7"/>
      <c r="BN121" s="8"/>
      <c r="BO121" s="9"/>
    </row>
    <row r="122" spans="1:67" s="4" customFormat="1" x14ac:dyDescent="0.2">
      <c r="A122" s="2"/>
      <c r="B122" s="2"/>
      <c r="C122" s="2"/>
      <c r="D122" s="2"/>
      <c r="E122" s="2"/>
      <c r="F122" s="2"/>
      <c r="G122" s="2"/>
      <c r="H122" s="3"/>
      <c r="I122" s="3"/>
      <c r="J122" s="2"/>
      <c r="K122" s="51"/>
      <c r="O122" s="5"/>
      <c r="P122" s="5"/>
      <c r="R122" s="6"/>
      <c r="S122" s="6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7"/>
      <c r="BN122" s="8"/>
      <c r="BO122" s="9"/>
    </row>
    <row r="123" spans="1:67" s="4" customFormat="1" x14ac:dyDescent="0.2">
      <c r="A123" s="2"/>
      <c r="B123" s="2"/>
      <c r="C123" s="2"/>
      <c r="D123" s="2"/>
      <c r="E123" s="2"/>
      <c r="F123" s="2"/>
      <c r="G123" s="2"/>
      <c r="H123" s="3"/>
      <c r="I123" s="3"/>
      <c r="J123" s="2"/>
      <c r="K123" s="51"/>
      <c r="O123" s="5"/>
      <c r="P123" s="5"/>
      <c r="R123" s="6"/>
      <c r="S123" s="6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  <c r="BM123" s="7"/>
      <c r="BN123" s="8"/>
      <c r="BO123" s="9"/>
    </row>
    <row r="124" spans="1:67" s="4" customFormat="1" x14ac:dyDescent="0.2">
      <c r="A124" s="2"/>
      <c r="B124" s="2"/>
      <c r="C124" s="2"/>
      <c r="D124" s="2"/>
      <c r="E124" s="2"/>
      <c r="F124" s="2"/>
      <c r="G124" s="2"/>
      <c r="H124" s="3"/>
      <c r="I124" s="3"/>
      <c r="J124" s="2"/>
      <c r="K124" s="51"/>
      <c r="O124" s="5"/>
      <c r="P124" s="5"/>
      <c r="R124" s="6"/>
      <c r="S124" s="6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7"/>
      <c r="BN124" s="8"/>
      <c r="BO124" s="9"/>
    </row>
    <row r="125" spans="1:67" s="4" customFormat="1" x14ac:dyDescent="0.2">
      <c r="A125" s="2"/>
      <c r="B125" s="2"/>
      <c r="C125" s="2"/>
      <c r="D125" s="2"/>
      <c r="E125" s="2"/>
      <c r="F125" s="2"/>
      <c r="G125" s="2"/>
      <c r="H125" s="3"/>
      <c r="I125" s="3"/>
      <c r="J125" s="2"/>
      <c r="K125" s="51"/>
      <c r="O125" s="5"/>
      <c r="P125" s="5"/>
      <c r="R125" s="6"/>
      <c r="S125" s="6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M125" s="7"/>
      <c r="BN125" s="8"/>
      <c r="BO125" s="9"/>
    </row>
    <row r="126" spans="1:67" s="4" customFormat="1" x14ac:dyDescent="0.2">
      <c r="A126" s="2"/>
      <c r="B126" s="2"/>
      <c r="C126" s="2"/>
      <c r="D126" s="2"/>
      <c r="E126" s="2"/>
      <c r="F126" s="2"/>
      <c r="G126" s="2"/>
      <c r="H126" s="3"/>
      <c r="I126" s="3"/>
      <c r="J126" s="2"/>
      <c r="K126" s="51"/>
      <c r="O126" s="5"/>
      <c r="P126" s="5"/>
      <c r="R126" s="6"/>
      <c r="S126" s="6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7"/>
      <c r="BN126" s="8"/>
      <c r="BO126" s="9"/>
    </row>
    <row r="127" spans="1:67" s="4" customFormat="1" x14ac:dyDescent="0.2">
      <c r="A127" s="2"/>
      <c r="B127" s="2"/>
      <c r="C127" s="2"/>
      <c r="D127" s="2"/>
      <c r="E127" s="2"/>
      <c r="F127" s="2"/>
      <c r="G127" s="2"/>
      <c r="H127" s="3"/>
      <c r="I127" s="3"/>
      <c r="J127" s="2"/>
      <c r="K127" s="51"/>
      <c r="O127" s="5"/>
      <c r="P127" s="5"/>
      <c r="R127" s="6"/>
      <c r="S127" s="6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7"/>
      <c r="BN127" s="8"/>
      <c r="BO127" s="9"/>
    </row>
    <row r="128" spans="1:67" s="4" customFormat="1" x14ac:dyDescent="0.2">
      <c r="A128" s="2"/>
      <c r="B128" s="2"/>
      <c r="C128" s="2"/>
      <c r="D128" s="2"/>
      <c r="E128" s="2"/>
      <c r="F128" s="2"/>
      <c r="G128" s="2"/>
      <c r="H128" s="3"/>
      <c r="I128" s="3"/>
      <c r="J128" s="2"/>
      <c r="K128" s="51"/>
      <c r="O128" s="5"/>
      <c r="P128" s="5"/>
      <c r="R128" s="6"/>
      <c r="S128" s="6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  <c r="BM128" s="7"/>
      <c r="BN128" s="8"/>
      <c r="BO128" s="9"/>
    </row>
    <row r="129" spans="1:67" s="4" customFormat="1" x14ac:dyDescent="0.2">
      <c r="A129" s="2"/>
      <c r="B129" s="2"/>
      <c r="C129" s="2"/>
      <c r="D129" s="2"/>
      <c r="E129" s="2"/>
      <c r="F129" s="2"/>
      <c r="G129" s="2"/>
      <c r="H129" s="3"/>
      <c r="I129" s="3"/>
      <c r="J129" s="2"/>
      <c r="K129" s="51"/>
      <c r="O129" s="5"/>
      <c r="P129" s="5"/>
      <c r="R129" s="6"/>
      <c r="S129" s="6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  <c r="BK129" s="7"/>
      <c r="BL129" s="7"/>
      <c r="BM129" s="7"/>
      <c r="BN129" s="8"/>
      <c r="BO129" s="9"/>
    </row>
    <row r="130" spans="1:67" s="4" customFormat="1" x14ac:dyDescent="0.2">
      <c r="A130" s="2"/>
      <c r="B130" s="2"/>
      <c r="C130" s="2"/>
      <c r="D130" s="2"/>
      <c r="E130" s="2"/>
      <c r="F130" s="2"/>
      <c r="G130" s="2"/>
      <c r="H130" s="3"/>
      <c r="I130" s="3"/>
      <c r="J130" s="2"/>
      <c r="K130" s="51"/>
      <c r="O130" s="5"/>
      <c r="P130" s="5"/>
      <c r="R130" s="6"/>
      <c r="S130" s="6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7"/>
      <c r="BN130" s="8"/>
      <c r="BO130" s="9"/>
    </row>
    <row r="131" spans="1:67" s="4" customFormat="1" x14ac:dyDescent="0.2">
      <c r="A131" s="2"/>
      <c r="B131" s="2"/>
      <c r="C131" s="2"/>
      <c r="D131" s="2"/>
      <c r="E131" s="2"/>
      <c r="F131" s="2"/>
      <c r="G131" s="2"/>
      <c r="H131" s="3"/>
      <c r="I131" s="3"/>
      <c r="J131" s="2"/>
      <c r="K131" s="51"/>
      <c r="O131" s="5"/>
      <c r="P131" s="5"/>
      <c r="R131" s="6"/>
      <c r="S131" s="6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  <c r="BK131" s="7"/>
      <c r="BL131" s="7"/>
      <c r="BM131" s="7"/>
      <c r="BN131" s="8"/>
      <c r="BO131" s="9"/>
    </row>
    <row r="132" spans="1:67" s="4" customFormat="1" x14ac:dyDescent="0.2">
      <c r="A132" s="2"/>
      <c r="B132" s="2"/>
      <c r="C132" s="2"/>
      <c r="D132" s="2"/>
      <c r="E132" s="2"/>
      <c r="F132" s="2"/>
      <c r="G132" s="2"/>
      <c r="H132" s="3"/>
      <c r="I132" s="3"/>
      <c r="J132" s="2"/>
      <c r="K132" s="51"/>
      <c r="O132" s="5"/>
      <c r="P132" s="5"/>
      <c r="R132" s="6"/>
      <c r="S132" s="6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  <c r="BM132" s="7"/>
      <c r="BN132" s="8"/>
      <c r="BO132" s="9"/>
    </row>
    <row r="133" spans="1:67" s="4" customFormat="1" x14ac:dyDescent="0.2">
      <c r="A133" s="2"/>
      <c r="B133" s="2"/>
      <c r="C133" s="2"/>
      <c r="D133" s="2"/>
      <c r="E133" s="2"/>
      <c r="F133" s="2"/>
      <c r="G133" s="2"/>
      <c r="H133" s="3"/>
      <c r="I133" s="3"/>
      <c r="J133" s="2"/>
      <c r="K133" s="51"/>
      <c r="O133" s="5"/>
      <c r="P133" s="5"/>
      <c r="R133" s="6"/>
      <c r="S133" s="6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7"/>
      <c r="BM133" s="7"/>
      <c r="BN133" s="8"/>
      <c r="BO133" s="9"/>
    </row>
    <row r="134" spans="1:67" s="4" customFormat="1" x14ac:dyDescent="0.2">
      <c r="A134" s="2"/>
      <c r="B134" s="2"/>
      <c r="C134" s="2"/>
      <c r="D134" s="2"/>
      <c r="E134" s="2"/>
      <c r="F134" s="2"/>
      <c r="G134" s="2"/>
      <c r="H134" s="3"/>
      <c r="I134" s="3"/>
      <c r="J134" s="2"/>
      <c r="K134" s="51"/>
      <c r="O134" s="5"/>
      <c r="P134" s="5"/>
      <c r="R134" s="6"/>
      <c r="S134" s="6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  <c r="BM134" s="7"/>
      <c r="BN134" s="8"/>
      <c r="BO134" s="9"/>
    </row>
    <row r="135" spans="1:67" s="4" customFormat="1" x14ac:dyDescent="0.2">
      <c r="A135" s="2"/>
      <c r="B135" s="2"/>
      <c r="C135" s="2"/>
      <c r="D135" s="2"/>
      <c r="E135" s="2"/>
      <c r="F135" s="2"/>
      <c r="G135" s="2"/>
      <c r="H135" s="3"/>
      <c r="I135" s="3"/>
      <c r="J135" s="2"/>
      <c r="K135" s="51"/>
      <c r="O135" s="5"/>
      <c r="P135" s="5"/>
      <c r="R135" s="6"/>
      <c r="S135" s="6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7"/>
      <c r="BN135" s="8"/>
      <c r="BO135" s="9"/>
    </row>
    <row r="136" spans="1:67" s="4" customFormat="1" x14ac:dyDescent="0.2">
      <c r="A136" s="2"/>
      <c r="B136" s="2"/>
      <c r="C136" s="2"/>
      <c r="D136" s="2"/>
      <c r="E136" s="2"/>
      <c r="F136" s="2"/>
      <c r="G136" s="2"/>
      <c r="H136" s="3"/>
      <c r="I136" s="3"/>
      <c r="J136" s="2"/>
      <c r="K136" s="51"/>
      <c r="O136" s="5"/>
      <c r="P136" s="5"/>
      <c r="R136" s="6"/>
      <c r="S136" s="6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  <c r="BM136" s="7"/>
      <c r="BN136" s="8"/>
      <c r="BO136" s="9"/>
    </row>
    <row r="137" spans="1:67" s="4" customFormat="1" x14ac:dyDescent="0.2">
      <c r="A137" s="2"/>
      <c r="B137" s="2"/>
      <c r="C137" s="2"/>
      <c r="D137" s="2"/>
      <c r="E137" s="2"/>
      <c r="F137" s="2"/>
      <c r="G137" s="2"/>
      <c r="H137" s="3"/>
      <c r="I137" s="3"/>
      <c r="J137" s="2"/>
      <c r="K137" s="51"/>
      <c r="O137" s="5"/>
      <c r="P137" s="5"/>
      <c r="R137" s="6"/>
      <c r="S137" s="6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7"/>
      <c r="BK137" s="7"/>
      <c r="BL137" s="7"/>
      <c r="BM137" s="7"/>
      <c r="BN137" s="8"/>
      <c r="BO137" s="9"/>
    </row>
    <row r="138" spans="1:67" s="4" customFormat="1" x14ac:dyDescent="0.2">
      <c r="A138" s="2"/>
      <c r="B138" s="2"/>
      <c r="C138" s="2"/>
      <c r="D138" s="2"/>
      <c r="E138" s="2"/>
      <c r="F138" s="2"/>
      <c r="G138" s="2"/>
      <c r="H138" s="3"/>
      <c r="I138" s="3"/>
      <c r="J138" s="2"/>
      <c r="K138" s="51"/>
      <c r="O138" s="5"/>
      <c r="P138" s="5"/>
      <c r="R138" s="6"/>
      <c r="S138" s="6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  <c r="BK138" s="7"/>
      <c r="BL138" s="7"/>
      <c r="BM138" s="7"/>
      <c r="BN138" s="8"/>
      <c r="BO138" s="9"/>
    </row>
    <row r="139" spans="1:67" s="4" customFormat="1" x14ac:dyDescent="0.2">
      <c r="A139" s="2"/>
      <c r="B139" s="2"/>
      <c r="C139" s="2"/>
      <c r="D139" s="2"/>
      <c r="E139" s="2"/>
      <c r="F139" s="2"/>
      <c r="G139" s="2"/>
      <c r="H139" s="3"/>
      <c r="I139" s="3"/>
      <c r="J139" s="2"/>
      <c r="K139" s="51"/>
      <c r="O139" s="5"/>
      <c r="P139" s="5"/>
      <c r="R139" s="6"/>
      <c r="S139" s="6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  <c r="BK139" s="7"/>
      <c r="BL139" s="7"/>
      <c r="BM139" s="7"/>
      <c r="BN139" s="8"/>
      <c r="BO139" s="9"/>
    </row>
    <row r="140" spans="1:67" s="4" customFormat="1" x14ac:dyDescent="0.2">
      <c r="A140" s="2"/>
      <c r="B140" s="2"/>
      <c r="C140" s="2"/>
      <c r="D140" s="2"/>
      <c r="E140" s="2"/>
      <c r="F140" s="2"/>
      <c r="G140" s="2"/>
      <c r="H140" s="3"/>
      <c r="I140" s="3"/>
      <c r="J140" s="2"/>
      <c r="K140" s="51"/>
      <c r="O140" s="5"/>
      <c r="P140" s="5"/>
      <c r="R140" s="6"/>
      <c r="S140" s="6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  <c r="BK140" s="7"/>
      <c r="BL140" s="7"/>
      <c r="BM140" s="7"/>
      <c r="BN140" s="8"/>
      <c r="BO140" s="9"/>
    </row>
    <row r="141" spans="1:67" s="4" customFormat="1" x14ac:dyDescent="0.2">
      <c r="A141" s="2"/>
      <c r="B141" s="2"/>
      <c r="C141" s="2"/>
      <c r="D141" s="2"/>
      <c r="E141" s="2"/>
      <c r="F141" s="2"/>
      <c r="G141" s="2"/>
      <c r="H141" s="3"/>
      <c r="I141" s="3"/>
      <c r="J141" s="2"/>
      <c r="K141" s="51"/>
      <c r="O141" s="5"/>
      <c r="P141" s="5"/>
      <c r="R141" s="6"/>
      <c r="S141" s="6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7"/>
      <c r="BK141" s="7"/>
      <c r="BL141" s="7"/>
      <c r="BM141" s="7"/>
      <c r="BN141" s="8"/>
      <c r="BO141" s="9"/>
    </row>
    <row r="142" spans="1:67" s="4" customFormat="1" x14ac:dyDescent="0.2">
      <c r="A142" s="2"/>
      <c r="B142" s="2"/>
      <c r="C142" s="2"/>
      <c r="D142" s="2"/>
      <c r="E142" s="2"/>
      <c r="F142" s="2"/>
      <c r="G142" s="2"/>
      <c r="H142" s="3"/>
      <c r="I142" s="3"/>
      <c r="J142" s="2"/>
      <c r="K142" s="51"/>
      <c r="O142" s="5"/>
      <c r="P142" s="5"/>
      <c r="R142" s="6"/>
      <c r="S142" s="6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  <c r="BK142" s="7"/>
      <c r="BL142" s="7"/>
      <c r="BM142" s="7"/>
      <c r="BN142" s="8"/>
      <c r="BO142" s="9"/>
    </row>
    <row r="143" spans="1:67" s="4" customFormat="1" x14ac:dyDescent="0.2">
      <c r="A143" s="2"/>
      <c r="B143" s="2"/>
      <c r="C143" s="2"/>
      <c r="D143" s="2"/>
      <c r="E143" s="2"/>
      <c r="F143" s="2"/>
      <c r="G143" s="2"/>
      <c r="H143" s="3"/>
      <c r="I143" s="3"/>
      <c r="J143" s="2"/>
      <c r="K143" s="51"/>
      <c r="O143" s="5"/>
      <c r="P143" s="5"/>
      <c r="R143" s="6"/>
      <c r="S143" s="6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  <c r="BJ143" s="7"/>
      <c r="BK143" s="7"/>
      <c r="BL143" s="7"/>
      <c r="BM143" s="7"/>
      <c r="BN143" s="8"/>
      <c r="BO143" s="9"/>
    </row>
    <row r="144" spans="1:67" s="4" customFormat="1" x14ac:dyDescent="0.2">
      <c r="A144" s="2"/>
      <c r="B144" s="2"/>
      <c r="C144" s="2"/>
      <c r="D144" s="2"/>
      <c r="E144" s="2"/>
      <c r="F144" s="2"/>
      <c r="G144" s="2"/>
      <c r="H144" s="3"/>
      <c r="I144" s="3"/>
      <c r="J144" s="2"/>
      <c r="K144" s="51"/>
      <c r="O144" s="5"/>
      <c r="P144" s="5"/>
      <c r="R144" s="6"/>
      <c r="S144" s="6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  <c r="BK144" s="7"/>
      <c r="BL144" s="7"/>
      <c r="BM144" s="7"/>
      <c r="BN144" s="8"/>
      <c r="BO144" s="9"/>
    </row>
    <row r="145" spans="1:67" s="4" customFormat="1" x14ac:dyDescent="0.2">
      <c r="A145" s="2"/>
      <c r="B145" s="2"/>
      <c r="C145" s="2"/>
      <c r="D145" s="2"/>
      <c r="E145" s="2"/>
      <c r="F145" s="2"/>
      <c r="G145" s="2"/>
      <c r="H145" s="3"/>
      <c r="I145" s="3"/>
      <c r="J145" s="2"/>
      <c r="K145" s="51"/>
      <c r="O145" s="5"/>
      <c r="P145" s="5"/>
      <c r="R145" s="6"/>
      <c r="S145" s="6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  <c r="BJ145" s="7"/>
      <c r="BK145" s="7"/>
      <c r="BL145" s="7"/>
      <c r="BM145" s="7"/>
      <c r="BN145" s="8"/>
      <c r="BO145" s="9"/>
    </row>
    <row r="146" spans="1:67" s="4" customFormat="1" x14ac:dyDescent="0.2">
      <c r="A146" s="2"/>
      <c r="B146" s="2"/>
      <c r="C146" s="2"/>
      <c r="D146" s="2"/>
      <c r="E146" s="2"/>
      <c r="F146" s="2"/>
      <c r="G146" s="2"/>
      <c r="H146" s="3"/>
      <c r="I146" s="3"/>
      <c r="J146" s="2"/>
      <c r="K146" s="51"/>
      <c r="O146" s="5"/>
      <c r="P146" s="5"/>
      <c r="R146" s="6"/>
      <c r="S146" s="6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  <c r="BJ146" s="7"/>
      <c r="BK146" s="7"/>
      <c r="BL146" s="7"/>
      <c r="BM146" s="7"/>
      <c r="BN146" s="8"/>
      <c r="BO146" s="9"/>
    </row>
    <row r="147" spans="1:67" s="4" customFormat="1" x14ac:dyDescent="0.2">
      <c r="A147" s="2"/>
      <c r="B147" s="2"/>
      <c r="C147" s="2"/>
      <c r="D147" s="2"/>
      <c r="E147" s="2"/>
      <c r="F147" s="2"/>
      <c r="G147" s="2"/>
      <c r="H147" s="3"/>
      <c r="I147" s="3"/>
      <c r="J147" s="2"/>
      <c r="K147" s="51"/>
      <c r="O147" s="5"/>
      <c r="P147" s="5"/>
      <c r="R147" s="6"/>
      <c r="S147" s="6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  <c r="BK147" s="7"/>
      <c r="BL147" s="7"/>
      <c r="BM147" s="7"/>
      <c r="BN147" s="8"/>
      <c r="BO147" s="9"/>
    </row>
    <row r="148" spans="1:67" s="4" customFormat="1" x14ac:dyDescent="0.2">
      <c r="A148" s="2"/>
      <c r="B148" s="2"/>
      <c r="C148" s="2"/>
      <c r="D148" s="2"/>
      <c r="E148" s="2"/>
      <c r="F148" s="2"/>
      <c r="G148" s="2"/>
      <c r="H148" s="3"/>
      <c r="I148" s="3"/>
      <c r="J148" s="2"/>
      <c r="K148" s="51"/>
      <c r="O148" s="5"/>
      <c r="P148" s="5"/>
      <c r="R148" s="6"/>
      <c r="S148" s="6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  <c r="BK148" s="7"/>
      <c r="BL148" s="7"/>
      <c r="BM148" s="7"/>
      <c r="BN148" s="8"/>
      <c r="BO148" s="9"/>
    </row>
    <row r="149" spans="1:67" s="4" customFormat="1" x14ac:dyDescent="0.2">
      <c r="A149" s="2"/>
      <c r="B149" s="2"/>
      <c r="C149" s="2"/>
      <c r="D149" s="2"/>
      <c r="E149" s="2"/>
      <c r="F149" s="2"/>
      <c r="G149" s="2"/>
      <c r="H149" s="3"/>
      <c r="I149" s="3"/>
      <c r="J149" s="2"/>
      <c r="K149" s="51"/>
      <c r="O149" s="5"/>
      <c r="P149" s="5"/>
      <c r="R149" s="6"/>
      <c r="S149" s="6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7"/>
      <c r="BK149" s="7"/>
      <c r="BL149" s="7"/>
      <c r="BM149" s="7"/>
      <c r="BN149" s="8"/>
      <c r="BO149" s="9"/>
    </row>
    <row r="150" spans="1:67" s="4" customFormat="1" x14ac:dyDescent="0.2">
      <c r="A150" s="2"/>
      <c r="B150" s="2"/>
      <c r="C150" s="2"/>
      <c r="D150" s="2"/>
      <c r="E150" s="2"/>
      <c r="F150" s="2"/>
      <c r="G150" s="2"/>
      <c r="H150" s="3"/>
      <c r="I150" s="3"/>
      <c r="J150" s="2"/>
      <c r="K150" s="51"/>
      <c r="O150" s="5"/>
      <c r="P150" s="5"/>
      <c r="R150" s="6"/>
      <c r="S150" s="6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7"/>
      <c r="BK150" s="7"/>
      <c r="BL150" s="7"/>
      <c r="BM150" s="7"/>
      <c r="BN150" s="8"/>
      <c r="BO150" s="9"/>
    </row>
    <row r="151" spans="1:67" s="4" customFormat="1" x14ac:dyDescent="0.2">
      <c r="A151" s="2"/>
      <c r="B151" s="2"/>
      <c r="C151" s="2"/>
      <c r="D151" s="2"/>
      <c r="E151" s="2"/>
      <c r="F151" s="2"/>
      <c r="G151" s="2"/>
      <c r="H151" s="3"/>
      <c r="I151" s="3"/>
      <c r="J151" s="2"/>
      <c r="K151" s="51"/>
      <c r="O151" s="5"/>
      <c r="P151" s="5"/>
      <c r="R151" s="6"/>
      <c r="S151" s="6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7"/>
      <c r="BJ151" s="7"/>
      <c r="BK151" s="7"/>
      <c r="BL151" s="7"/>
      <c r="BM151" s="7"/>
      <c r="BN151" s="8"/>
      <c r="BO151" s="9"/>
    </row>
    <row r="152" spans="1:67" s="4" customFormat="1" x14ac:dyDescent="0.2">
      <c r="A152" s="2"/>
      <c r="B152" s="2"/>
      <c r="C152" s="2"/>
      <c r="D152" s="2"/>
      <c r="E152" s="2"/>
      <c r="F152" s="2"/>
      <c r="G152" s="2"/>
      <c r="H152" s="3"/>
      <c r="I152" s="3"/>
      <c r="J152" s="2"/>
      <c r="K152" s="51"/>
      <c r="O152" s="5"/>
      <c r="P152" s="5"/>
      <c r="R152" s="6"/>
      <c r="S152" s="6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7"/>
      <c r="BJ152" s="7"/>
      <c r="BK152" s="7"/>
      <c r="BL152" s="7"/>
      <c r="BM152" s="7"/>
      <c r="BN152" s="8"/>
      <c r="BO152" s="9"/>
    </row>
    <row r="153" spans="1:67" s="4" customFormat="1" x14ac:dyDescent="0.2">
      <c r="A153" s="2"/>
      <c r="B153" s="2"/>
      <c r="C153" s="2"/>
      <c r="D153" s="2"/>
      <c r="E153" s="2"/>
      <c r="F153" s="2"/>
      <c r="G153" s="2"/>
      <c r="H153" s="3"/>
      <c r="I153" s="3"/>
      <c r="J153" s="2"/>
      <c r="K153" s="51"/>
      <c r="O153" s="5"/>
      <c r="P153" s="5"/>
      <c r="R153" s="6"/>
      <c r="S153" s="6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7"/>
      <c r="BI153" s="7"/>
      <c r="BJ153" s="7"/>
      <c r="BK153" s="7"/>
      <c r="BL153" s="7"/>
      <c r="BM153" s="7"/>
      <c r="BN153" s="8"/>
      <c r="BO153" s="9"/>
    </row>
    <row r="154" spans="1:67" s="4" customFormat="1" x14ac:dyDescent="0.2">
      <c r="A154" s="2"/>
      <c r="B154" s="2"/>
      <c r="C154" s="2"/>
      <c r="D154" s="2"/>
      <c r="E154" s="2"/>
      <c r="F154" s="2"/>
      <c r="G154" s="2"/>
      <c r="H154" s="3"/>
      <c r="I154" s="3"/>
      <c r="J154" s="2"/>
      <c r="K154" s="51"/>
      <c r="O154" s="5"/>
      <c r="P154" s="5"/>
      <c r="R154" s="6"/>
      <c r="S154" s="6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7"/>
      <c r="BJ154" s="7"/>
      <c r="BK154" s="7"/>
      <c r="BL154" s="7"/>
      <c r="BM154" s="7"/>
      <c r="BN154" s="8"/>
      <c r="BO154" s="9"/>
    </row>
    <row r="155" spans="1:67" s="4" customFormat="1" x14ac:dyDescent="0.2">
      <c r="A155" s="2"/>
      <c r="B155" s="2"/>
      <c r="C155" s="2"/>
      <c r="D155" s="2"/>
      <c r="E155" s="2"/>
      <c r="F155" s="2"/>
      <c r="G155" s="2"/>
      <c r="H155" s="3"/>
      <c r="I155" s="3"/>
      <c r="J155" s="2"/>
      <c r="K155" s="51"/>
      <c r="O155" s="5"/>
      <c r="P155" s="5"/>
      <c r="R155" s="6"/>
      <c r="S155" s="6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7"/>
      <c r="BI155" s="7"/>
      <c r="BJ155" s="7"/>
      <c r="BK155" s="7"/>
      <c r="BL155" s="7"/>
      <c r="BM155" s="7"/>
      <c r="BN155" s="8"/>
      <c r="BO155" s="9"/>
    </row>
    <row r="156" spans="1:67" s="4" customFormat="1" x14ac:dyDescent="0.2">
      <c r="A156" s="2"/>
      <c r="B156" s="2"/>
      <c r="C156" s="2"/>
      <c r="D156" s="2"/>
      <c r="E156" s="2"/>
      <c r="F156" s="2"/>
      <c r="G156" s="2"/>
      <c r="H156" s="3"/>
      <c r="I156" s="3"/>
      <c r="J156" s="2"/>
      <c r="K156" s="51"/>
      <c r="O156" s="5"/>
      <c r="P156" s="5"/>
      <c r="R156" s="6"/>
      <c r="S156" s="6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  <c r="BJ156" s="7"/>
      <c r="BK156" s="7"/>
      <c r="BL156" s="7"/>
      <c r="BM156" s="7"/>
      <c r="BN156" s="8"/>
      <c r="BO156" s="9"/>
    </row>
    <row r="157" spans="1:67" s="4" customFormat="1" x14ac:dyDescent="0.2">
      <c r="A157" s="2"/>
      <c r="B157" s="2"/>
      <c r="C157" s="2"/>
      <c r="D157" s="2"/>
      <c r="E157" s="2"/>
      <c r="F157" s="2"/>
      <c r="G157" s="2"/>
      <c r="H157" s="3"/>
      <c r="I157" s="3"/>
      <c r="J157" s="2"/>
      <c r="K157" s="51"/>
      <c r="O157" s="5"/>
      <c r="P157" s="5"/>
      <c r="R157" s="6"/>
      <c r="S157" s="6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7"/>
      <c r="BI157" s="7"/>
      <c r="BJ157" s="7"/>
      <c r="BK157" s="7"/>
      <c r="BL157" s="7"/>
      <c r="BM157" s="7"/>
      <c r="BN157" s="8"/>
      <c r="BO157" s="9"/>
    </row>
    <row r="158" spans="1:67" s="4" customFormat="1" x14ac:dyDescent="0.2">
      <c r="A158" s="2"/>
      <c r="B158" s="2"/>
      <c r="C158" s="2"/>
      <c r="D158" s="2"/>
      <c r="E158" s="2"/>
      <c r="F158" s="2"/>
      <c r="G158" s="2"/>
      <c r="H158" s="3"/>
      <c r="I158" s="3"/>
      <c r="J158" s="2"/>
      <c r="K158" s="51"/>
      <c r="O158" s="5"/>
      <c r="P158" s="5"/>
      <c r="R158" s="6"/>
      <c r="S158" s="6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7"/>
      <c r="BI158" s="7"/>
      <c r="BJ158" s="7"/>
      <c r="BK158" s="7"/>
      <c r="BL158" s="7"/>
      <c r="BM158" s="7"/>
      <c r="BN158" s="8"/>
      <c r="BO158" s="9"/>
    </row>
    <row r="159" spans="1:67" s="4" customFormat="1" x14ac:dyDescent="0.2">
      <c r="A159" s="2"/>
      <c r="B159" s="2"/>
      <c r="C159" s="2"/>
      <c r="D159" s="2"/>
      <c r="E159" s="2"/>
      <c r="F159" s="2"/>
      <c r="G159" s="2"/>
      <c r="H159" s="3"/>
      <c r="I159" s="3"/>
      <c r="J159" s="2"/>
      <c r="K159" s="51"/>
      <c r="O159" s="5"/>
      <c r="P159" s="5"/>
      <c r="R159" s="6"/>
      <c r="S159" s="6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7"/>
      <c r="BI159" s="7"/>
      <c r="BJ159" s="7"/>
      <c r="BK159" s="7"/>
      <c r="BL159" s="7"/>
      <c r="BM159" s="7"/>
      <c r="BN159" s="8"/>
      <c r="BO159" s="9"/>
    </row>
    <row r="160" spans="1:67" s="4" customFormat="1" x14ac:dyDescent="0.2">
      <c r="A160" s="2"/>
      <c r="B160" s="2"/>
      <c r="C160" s="2"/>
      <c r="D160" s="2"/>
      <c r="E160" s="2"/>
      <c r="F160" s="2"/>
      <c r="G160" s="2"/>
      <c r="H160" s="3"/>
      <c r="I160" s="3"/>
      <c r="J160" s="2"/>
      <c r="K160" s="51"/>
      <c r="O160" s="5"/>
      <c r="P160" s="5"/>
      <c r="R160" s="6"/>
      <c r="S160" s="6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7"/>
      <c r="BK160" s="7"/>
      <c r="BL160" s="7"/>
      <c r="BM160" s="7"/>
      <c r="BN160" s="8"/>
      <c r="BO160" s="9"/>
    </row>
    <row r="161" spans="1:67" s="4" customFormat="1" x14ac:dyDescent="0.2">
      <c r="A161" s="2"/>
      <c r="B161" s="2"/>
      <c r="C161" s="2"/>
      <c r="D161" s="2"/>
      <c r="E161" s="2"/>
      <c r="F161" s="2"/>
      <c r="G161" s="2"/>
      <c r="H161" s="3"/>
      <c r="I161" s="3"/>
      <c r="J161" s="2"/>
      <c r="K161" s="51"/>
      <c r="O161" s="5"/>
      <c r="P161" s="5"/>
      <c r="R161" s="6"/>
      <c r="S161" s="6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7"/>
      <c r="BK161" s="7"/>
      <c r="BL161" s="7"/>
      <c r="BM161" s="7"/>
      <c r="BN161" s="8"/>
      <c r="BO161" s="9"/>
    </row>
    <row r="162" spans="1:67" s="4" customFormat="1" x14ac:dyDescent="0.2">
      <c r="A162" s="2"/>
      <c r="B162" s="2"/>
      <c r="C162" s="2"/>
      <c r="D162" s="2"/>
      <c r="E162" s="2"/>
      <c r="F162" s="2"/>
      <c r="G162" s="2"/>
      <c r="H162" s="3"/>
      <c r="I162" s="3"/>
      <c r="J162" s="2"/>
      <c r="K162" s="51"/>
      <c r="O162" s="5"/>
      <c r="P162" s="5"/>
      <c r="R162" s="6"/>
      <c r="S162" s="6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7"/>
      <c r="BK162" s="7"/>
      <c r="BL162" s="7"/>
      <c r="BM162" s="7"/>
      <c r="BN162" s="8"/>
      <c r="BO162" s="9"/>
    </row>
    <row r="163" spans="1:67" s="4" customFormat="1" x14ac:dyDescent="0.2">
      <c r="A163" s="2"/>
      <c r="B163" s="2"/>
      <c r="C163" s="2"/>
      <c r="D163" s="2"/>
      <c r="E163" s="2"/>
      <c r="F163" s="2"/>
      <c r="G163" s="2"/>
      <c r="H163" s="3"/>
      <c r="I163" s="3"/>
      <c r="J163" s="2"/>
      <c r="K163" s="51"/>
      <c r="O163" s="5"/>
      <c r="P163" s="5"/>
      <c r="R163" s="6"/>
      <c r="S163" s="6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/>
      <c r="BH163" s="7"/>
      <c r="BI163" s="7"/>
      <c r="BJ163" s="7"/>
      <c r="BK163" s="7"/>
      <c r="BL163" s="7"/>
      <c r="BM163" s="7"/>
      <c r="BN163" s="8"/>
      <c r="BO163" s="9"/>
    </row>
    <row r="164" spans="1:67" s="4" customFormat="1" x14ac:dyDescent="0.2">
      <c r="A164" s="2"/>
      <c r="B164" s="2"/>
      <c r="C164" s="2"/>
      <c r="D164" s="2"/>
      <c r="E164" s="2"/>
      <c r="F164" s="2"/>
      <c r="G164" s="2"/>
      <c r="H164" s="3"/>
      <c r="I164" s="3"/>
      <c r="J164" s="2"/>
      <c r="K164" s="51"/>
      <c r="O164" s="5"/>
      <c r="P164" s="5"/>
      <c r="R164" s="6"/>
      <c r="S164" s="6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  <c r="BJ164" s="7"/>
      <c r="BK164" s="7"/>
      <c r="BL164" s="7"/>
      <c r="BM164" s="7"/>
      <c r="BN164" s="8"/>
      <c r="BO164" s="9"/>
    </row>
    <row r="165" spans="1:67" s="4" customFormat="1" x14ac:dyDescent="0.2">
      <c r="A165" s="2"/>
      <c r="B165" s="2"/>
      <c r="C165" s="2"/>
      <c r="D165" s="2"/>
      <c r="E165" s="2"/>
      <c r="F165" s="2"/>
      <c r="G165" s="2"/>
      <c r="H165" s="3"/>
      <c r="I165" s="3"/>
      <c r="J165" s="2"/>
      <c r="K165" s="51"/>
      <c r="O165" s="5"/>
      <c r="P165" s="5"/>
      <c r="R165" s="6"/>
      <c r="S165" s="6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7"/>
      <c r="BF165" s="7"/>
      <c r="BG165" s="7"/>
      <c r="BH165" s="7"/>
      <c r="BI165" s="7"/>
      <c r="BJ165" s="7"/>
      <c r="BK165" s="7"/>
      <c r="BL165" s="7"/>
      <c r="BM165" s="7"/>
      <c r="BN165" s="8"/>
      <c r="BO165" s="9"/>
    </row>
    <row r="166" spans="1:67" s="4" customFormat="1" x14ac:dyDescent="0.2">
      <c r="A166" s="2"/>
      <c r="B166" s="2"/>
      <c r="C166" s="2"/>
      <c r="D166" s="2"/>
      <c r="E166" s="2"/>
      <c r="F166" s="2"/>
      <c r="G166" s="2"/>
      <c r="H166" s="3"/>
      <c r="I166" s="3"/>
      <c r="J166" s="2"/>
      <c r="K166" s="51"/>
      <c r="O166" s="5"/>
      <c r="P166" s="5"/>
      <c r="R166" s="6"/>
      <c r="S166" s="6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7"/>
      <c r="BH166" s="7"/>
      <c r="BI166" s="7"/>
      <c r="BJ166" s="7"/>
      <c r="BK166" s="7"/>
      <c r="BL166" s="7"/>
      <c r="BM166" s="7"/>
      <c r="BN166" s="8"/>
      <c r="BO166" s="9"/>
    </row>
    <row r="167" spans="1:67" s="4" customFormat="1" x14ac:dyDescent="0.2">
      <c r="A167" s="2"/>
      <c r="B167" s="2"/>
      <c r="C167" s="2"/>
      <c r="D167" s="2"/>
      <c r="E167" s="2"/>
      <c r="F167" s="2"/>
      <c r="G167" s="2"/>
      <c r="H167" s="3"/>
      <c r="I167" s="3"/>
      <c r="J167" s="2"/>
      <c r="K167" s="51"/>
      <c r="O167" s="5"/>
      <c r="P167" s="5"/>
      <c r="R167" s="6"/>
      <c r="S167" s="6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7"/>
      <c r="BG167" s="7"/>
      <c r="BH167" s="7"/>
      <c r="BI167" s="7"/>
      <c r="BJ167" s="7"/>
      <c r="BK167" s="7"/>
      <c r="BL167" s="7"/>
      <c r="BM167" s="7"/>
      <c r="BN167" s="8"/>
      <c r="BO167" s="9"/>
    </row>
    <row r="168" spans="1:67" s="4" customFormat="1" x14ac:dyDescent="0.2">
      <c r="A168" s="2"/>
      <c r="B168" s="2"/>
      <c r="C168" s="2"/>
      <c r="D168" s="2"/>
      <c r="E168" s="2"/>
      <c r="F168" s="2"/>
      <c r="G168" s="2"/>
      <c r="H168" s="3"/>
      <c r="I168" s="3"/>
      <c r="J168" s="2"/>
      <c r="K168" s="51"/>
      <c r="O168" s="5"/>
      <c r="P168" s="5"/>
      <c r="R168" s="6"/>
      <c r="S168" s="6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7"/>
      <c r="BH168" s="7"/>
      <c r="BI168" s="7"/>
      <c r="BJ168" s="7"/>
      <c r="BK168" s="7"/>
      <c r="BL168" s="7"/>
      <c r="BM168" s="7"/>
      <c r="BN168" s="8"/>
      <c r="BO168" s="9"/>
    </row>
    <row r="169" spans="1:67" s="4" customFormat="1" x14ac:dyDescent="0.2">
      <c r="A169" s="2"/>
      <c r="B169" s="2"/>
      <c r="C169" s="2"/>
      <c r="D169" s="2"/>
      <c r="E169" s="2"/>
      <c r="F169" s="2"/>
      <c r="G169" s="2"/>
      <c r="H169" s="3"/>
      <c r="I169" s="3"/>
      <c r="J169" s="2"/>
      <c r="K169" s="51"/>
      <c r="O169" s="5"/>
      <c r="P169" s="5"/>
      <c r="R169" s="6"/>
      <c r="S169" s="6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7"/>
      <c r="BG169" s="7"/>
      <c r="BH169" s="7"/>
      <c r="BI169" s="7"/>
      <c r="BJ169" s="7"/>
      <c r="BK169" s="7"/>
      <c r="BL169" s="7"/>
      <c r="BM169" s="7"/>
      <c r="BN169" s="8"/>
      <c r="BO169" s="9"/>
    </row>
    <row r="170" spans="1:67" s="4" customFormat="1" x14ac:dyDescent="0.2">
      <c r="A170" s="2"/>
      <c r="B170" s="2"/>
      <c r="C170" s="2"/>
      <c r="D170" s="2"/>
      <c r="E170" s="2"/>
      <c r="F170" s="2"/>
      <c r="G170" s="2"/>
      <c r="H170" s="3"/>
      <c r="I170" s="3"/>
      <c r="J170" s="2"/>
      <c r="K170" s="51"/>
      <c r="O170" s="5"/>
      <c r="P170" s="5"/>
      <c r="R170" s="6"/>
      <c r="S170" s="6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7"/>
      <c r="BH170" s="7"/>
      <c r="BI170" s="7"/>
      <c r="BJ170" s="7"/>
      <c r="BK170" s="7"/>
      <c r="BL170" s="7"/>
      <c r="BM170" s="7"/>
      <c r="BN170" s="8"/>
      <c r="BO170" s="9"/>
    </row>
    <row r="171" spans="1:67" s="4" customFormat="1" x14ac:dyDescent="0.2">
      <c r="A171" s="2"/>
      <c r="B171" s="2"/>
      <c r="C171" s="2"/>
      <c r="D171" s="2"/>
      <c r="E171" s="2"/>
      <c r="F171" s="2"/>
      <c r="G171" s="2"/>
      <c r="H171" s="3"/>
      <c r="I171" s="3"/>
      <c r="J171" s="2"/>
      <c r="K171" s="51"/>
      <c r="O171" s="5"/>
      <c r="P171" s="5"/>
      <c r="R171" s="6"/>
      <c r="S171" s="6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  <c r="BF171" s="7"/>
      <c r="BG171" s="7"/>
      <c r="BH171" s="7"/>
      <c r="BI171" s="7"/>
      <c r="BJ171" s="7"/>
      <c r="BK171" s="7"/>
      <c r="BL171" s="7"/>
      <c r="BM171" s="7"/>
      <c r="BN171" s="8"/>
      <c r="BO171" s="9"/>
    </row>
    <row r="172" spans="1:67" s="4" customFormat="1" x14ac:dyDescent="0.2">
      <c r="A172" s="2"/>
      <c r="B172" s="2"/>
      <c r="C172" s="2"/>
      <c r="D172" s="2"/>
      <c r="E172" s="2"/>
      <c r="F172" s="2"/>
      <c r="G172" s="2"/>
      <c r="H172" s="3"/>
      <c r="I172" s="3"/>
      <c r="J172" s="2"/>
      <c r="K172" s="51"/>
      <c r="O172" s="5"/>
      <c r="P172" s="5"/>
      <c r="R172" s="6"/>
      <c r="S172" s="6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7"/>
      <c r="BG172" s="7"/>
      <c r="BH172" s="7"/>
      <c r="BI172" s="7"/>
      <c r="BJ172" s="7"/>
      <c r="BK172" s="7"/>
      <c r="BL172" s="7"/>
      <c r="BM172" s="7"/>
      <c r="BN172" s="8"/>
      <c r="BO172" s="9"/>
    </row>
    <row r="173" spans="1:67" s="4" customFormat="1" x14ac:dyDescent="0.2">
      <c r="A173" s="2"/>
      <c r="B173" s="2"/>
      <c r="C173" s="2"/>
      <c r="D173" s="2"/>
      <c r="E173" s="2"/>
      <c r="F173" s="2"/>
      <c r="G173" s="2"/>
      <c r="H173" s="3"/>
      <c r="I173" s="3"/>
      <c r="J173" s="2"/>
      <c r="K173" s="51"/>
      <c r="O173" s="5"/>
      <c r="P173" s="5"/>
      <c r="R173" s="6"/>
      <c r="S173" s="6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7"/>
      <c r="BF173" s="7"/>
      <c r="BG173" s="7"/>
      <c r="BH173" s="7"/>
      <c r="BI173" s="7"/>
      <c r="BJ173" s="7"/>
      <c r="BK173" s="7"/>
      <c r="BL173" s="7"/>
      <c r="BM173" s="7"/>
      <c r="BN173" s="8"/>
      <c r="BO173" s="9"/>
    </row>
    <row r="174" spans="1:67" s="4" customFormat="1" x14ac:dyDescent="0.2">
      <c r="A174" s="2"/>
      <c r="B174" s="2"/>
      <c r="C174" s="2"/>
      <c r="D174" s="2"/>
      <c r="E174" s="2"/>
      <c r="F174" s="2"/>
      <c r="G174" s="2"/>
      <c r="H174" s="3"/>
      <c r="I174" s="3"/>
      <c r="J174" s="2"/>
      <c r="K174" s="51"/>
      <c r="O174" s="5"/>
      <c r="P174" s="5"/>
      <c r="R174" s="6"/>
      <c r="S174" s="6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/>
      <c r="BG174" s="7"/>
      <c r="BH174" s="7"/>
      <c r="BI174" s="7"/>
      <c r="BJ174" s="7"/>
      <c r="BK174" s="7"/>
      <c r="BL174" s="7"/>
      <c r="BM174" s="7"/>
      <c r="BN174" s="8"/>
      <c r="BO174" s="9"/>
    </row>
    <row r="175" spans="1:67" s="4" customFormat="1" x14ac:dyDescent="0.2">
      <c r="A175" s="2"/>
      <c r="B175" s="2"/>
      <c r="C175" s="2"/>
      <c r="D175" s="2"/>
      <c r="E175" s="2"/>
      <c r="F175" s="2"/>
      <c r="G175" s="2"/>
      <c r="H175" s="3"/>
      <c r="I175" s="3"/>
      <c r="J175" s="2"/>
      <c r="K175" s="51"/>
      <c r="O175" s="5"/>
      <c r="P175" s="5"/>
      <c r="R175" s="6"/>
      <c r="S175" s="6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D175" s="7"/>
      <c r="BE175" s="7"/>
      <c r="BF175" s="7"/>
      <c r="BG175" s="7"/>
      <c r="BH175" s="7"/>
      <c r="BI175" s="7"/>
      <c r="BJ175" s="7"/>
      <c r="BK175" s="7"/>
      <c r="BL175" s="7"/>
      <c r="BM175" s="7"/>
      <c r="BN175" s="8"/>
      <c r="BO175" s="9"/>
    </row>
    <row r="176" spans="1:67" s="4" customFormat="1" x14ac:dyDescent="0.2">
      <c r="A176" s="2"/>
      <c r="B176" s="2"/>
      <c r="C176" s="2"/>
      <c r="D176" s="2"/>
      <c r="E176" s="2"/>
      <c r="F176" s="2"/>
      <c r="G176" s="2"/>
      <c r="H176" s="3"/>
      <c r="I176" s="3"/>
      <c r="J176" s="2"/>
      <c r="K176" s="51"/>
      <c r="O176" s="5"/>
      <c r="P176" s="5"/>
      <c r="R176" s="6"/>
      <c r="S176" s="6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/>
      <c r="BG176" s="7"/>
      <c r="BH176" s="7"/>
      <c r="BI176" s="7"/>
      <c r="BJ176" s="7"/>
      <c r="BK176" s="7"/>
      <c r="BL176" s="7"/>
      <c r="BM176" s="7"/>
      <c r="BN176" s="8"/>
      <c r="BO176" s="9"/>
    </row>
    <row r="177" spans="1:67" s="4" customFormat="1" x14ac:dyDescent="0.2">
      <c r="A177" s="2"/>
      <c r="B177" s="2"/>
      <c r="C177" s="2"/>
      <c r="D177" s="2"/>
      <c r="E177" s="2"/>
      <c r="F177" s="2"/>
      <c r="G177" s="2"/>
      <c r="H177" s="3"/>
      <c r="I177" s="3"/>
      <c r="J177" s="2"/>
      <c r="K177" s="51"/>
      <c r="O177" s="5"/>
      <c r="P177" s="5"/>
      <c r="R177" s="6"/>
      <c r="S177" s="6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7"/>
      <c r="BF177" s="7"/>
      <c r="BG177" s="7"/>
      <c r="BH177" s="7"/>
      <c r="BI177" s="7"/>
      <c r="BJ177" s="7"/>
      <c r="BK177" s="7"/>
      <c r="BL177" s="7"/>
      <c r="BM177" s="7"/>
      <c r="BN177" s="8"/>
      <c r="BO177" s="9"/>
    </row>
    <row r="178" spans="1:67" s="4" customFormat="1" x14ac:dyDescent="0.2">
      <c r="A178" s="2"/>
      <c r="B178" s="2"/>
      <c r="C178" s="2"/>
      <c r="D178" s="2"/>
      <c r="E178" s="2"/>
      <c r="F178" s="2"/>
      <c r="G178" s="2"/>
      <c r="H178" s="3"/>
      <c r="I178" s="3"/>
      <c r="J178" s="2"/>
      <c r="K178" s="51"/>
      <c r="O178" s="5"/>
      <c r="P178" s="5"/>
      <c r="R178" s="6"/>
      <c r="S178" s="6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7"/>
      <c r="BH178" s="7"/>
      <c r="BI178" s="7"/>
      <c r="BJ178" s="7"/>
      <c r="BK178" s="7"/>
      <c r="BL178" s="7"/>
      <c r="BM178" s="7"/>
      <c r="BN178" s="8"/>
      <c r="BO178" s="9"/>
    </row>
    <row r="179" spans="1:67" s="4" customFormat="1" x14ac:dyDescent="0.2">
      <c r="A179" s="2"/>
      <c r="B179" s="2"/>
      <c r="C179" s="2"/>
      <c r="D179" s="2"/>
      <c r="E179" s="2"/>
      <c r="F179" s="2"/>
      <c r="G179" s="2"/>
      <c r="H179" s="3"/>
      <c r="I179" s="3"/>
      <c r="J179" s="2"/>
      <c r="K179" s="51"/>
      <c r="O179" s="5"/>
      <c r="P179" s="5"/>
      <c r="R179" s="6"/>
      <c r="S179" s="6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7"/>
      <c r="BH179" s="7"/>
      <c r="BI179" s="7"/>
      <c r="BJ179" s="7"/>
      <c r="BK179" s="7"/>
      <c r="BL179" s="7"/>
      <c r="BM179" s="7"/>
      <c r="BN179" s="8"/>
      <c r="BO179" s="9"/>
    </row>
    <row r="180" spans="1:67" s="4" customFormat="1" x14ac:dyDescent="0.2">
      <c r="A180" s="2"/>
      <c r="B180" s="2"/>
      <c r="C180" s="2"/>
      <c r="D180" s="2"/>
      <c r="E180" s="2"/>
      <c r="F180" s="2"/>
      <c r="G180" s="2"/>
      <c r="H180" s="3"/>
      <c r="I180" s="3"/>
      <c r="J180" s="2"/>
      <c r="K180" s="51"/>
      <c r="O180" s="5"/>
      <c r="P180" s="5"/>
      <c r="R180" s="6"/>
      <c r="S180" s="6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7"/>
      <c r="BH180" s="7"/>
      <c r="BI180" s="7"/>
      <c r="BJ180" s="7"/>
      <c r="BK180" s="7"/>
      <c r="BL180" s="7"/>
      <c r="BM180" s="7"/>
      <c r="BN180" s="8"/>
      <c r="BO180" s="9"/>
    </row>
    <row r="181" spans="1:67" s="4" customFormat="1" x14ac:dyDescent="0.2">
      <c r="A181" s="2"/>
      <c r="B181" s="2"/>
      <c r="C181" s="2"/>
      <c r="D181" s="2"/>
      <c r="E181" s="2"/>
      <c r="F181" s="2"/>
      <c r="G181" s="2"/>
      <c r="H181" s="3"/>
      <c r="I181" s="3"/>
      <c r="J181" s="2"/>
      <c r="K181" s="51"/>
      <c r="O181" s="5"/>
      <c r="P181" s="5"/>
      <c r="R181" s="6"/>
      <c r="S181" s="6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/>
      <c r="BF181" s="7"/>
      <c r="BG181" s="7"/>
      <c r="BH181" s="7"/>
      <c r="BI181" s="7"/>
      <c r="BJ181" s="7"/>
      <c r="BK181" s="7"/>
      <c r="BL181" s="7"/>
      <c r="BM181" s="7"/>
      <c r="BN181" s="8"/>
      <c r="BO181" s="9"/>
    </row>
    <row r="182" spans="1:67" s="4" customFormat="1" x14ac:dyDescent="0.2">
      <c r="A182" s="2"/>
      <c r="B182" s="2"/>
      <c r="C182" s="2"/>
      <c r="D182" s="2"/>
      <c r="E182" s="2"/>
      <c r="F182" s="2"/>
      <c r="G182" s="2"/>
      <c r="H182" s="3"/>
      <c r="I182" s="3"/>
      <c r="J182" s="2"/>
      <c r="K182" s="51"/>
      <c r="O182" s="5"/>
      <c r="P182" s="5"/>
      <c r="R182" s="6"/>
      <c r="S182" s="6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  <c r="BH182" s="7"/>
      <c r="BI182" s="7"/>
      <c r="BJ182" s="7"/>
      <c r="BK182" s="7"/>
      <c r="BL182" s="7"/>
      <c r="BM182" s="7"/>
      <c r="BN182" s="8"/>
      <c r="BO182" s="9"/>
    </row>
    <row r="183" spans="1:67" s="4" customFormat="1" x14ac:dyDescent="0.2">
      <c r="A183" s="2"/>
      <c r="B183" s="2"/>
      <c r="C183" s="2"/>
      <c r="D183" s="2"/>
      <c r="E183" s="2"/>
      <c r="F183" s="2"/>
      <c r="G183" s="2"/>
      <c r="H183" s="3"/>
      <c r="I183" s="3"/>
      <c r="J183" s="2"/>
      <c r="K183" s="51"/>
      <c r="O183" s="5"/>
      <c r="P183" s="5"/>
      <c r="R183" s="6"/>
      <c r="S183" s="6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/>
      <c r="BE183" s="7"/>
      <c r="BF183" s="7"/>
      <c r="BG183" s="7"/>
      <c r="BH183" s="7"/>
      <c r="BI183" s="7"/>
      <c r="BJ183" s="7"/>
      <c r="BK183" s="7"/>
      <c r="BL183" s="7"/>
      <c r="BM183" s="7"/>
      <c r="BN183" s="8"/>
      <c r="BO183" s="9"/>
    </row>
    <row r="184" spans="1:67" s="4" customFormat="1" x14ac:dyDescent="0.2">
      <c r="A184" s="2"/>
      <c r="B184" s="2"/>
      <c r="C184" s="2"/>
      <c r="D184" s="2"/>
      <c r="E184" s="2"/>
      <c r="F184" s="2"/>
      <c r="G184" s="2"/>
      <c r="H184" s="3"/>
      <c r="I184" s="3"/>
      <c r="J184" s="2"/>
      <c r="K184" s="51"/>
      <c r="O184" s="5"/>
      <c r="P184" s="5"/>
      <c r="R184" s="6"/>
      <c r="S184" s="6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7"/>
      <c r="BH184" s="7"/>
      <c r="BI184" s="7"/>
      <c r="BJ184" s="7"/>
      <c r="BK184" s="7"/>
      <c r="BL184" s="7"/>
      <c r="BM184" s="7"/>
      <c r="BN184" s="8"/>
      <c r="BO184" s="9"/>
    </row>
    <row r="185" spans="1:67" s="4" customFormat="1" x14ac:dyDescent="0.2">
      <c r="A185" s="2"/>
      <c r="B185" s="2"/>
      <c r="C185" s="2"/>
      <c r="D185" s="2"/>
      <c r="E185" s="2"/>
      <c r="F185" s="2"/>
      <c r="G185" s="2"/>
      <c r="H185" s="3"/>
      <c r="I185" s="3"/>
      <c r="J185" s="2"/>
      <c r="K185" s="51"/>
      <c r="O185" s="5"/>
      <c r="P185" s="5"/>
      <c r="R185" s="6"/>
      <c r="S185" s="6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  <c r="BF185" s="7"/>
      <c r="BG185" s="7"/>
      <c r="BH185" s="7"/>
      <c r="BI185" s="7"/>
      <c r="BJ185" s="7"/>
      <c r="BK185" s="7"/>
      <c r="BL185" s="7"/>
      <c r="BM185" s="7"/>
      <c r="BN185" s="8"/>
      <c r="BO185" s="9"/>
    </row>
    <row r="186" spans="1:67" s="4" customFormat="1" x14ac:dyDescent="0.2">
      <c r="A186" s="2"/>
      <c r="B186" s="2"/>
      <c r="C186" s="2"/>
      <c r="D186" s="2"/>
      <c r="E186" s="2"/>
      <c r="F186" s="2"/>
      <c r="G186" s="2"/>
      <c r="H186" s="3"/>
      <c r="I186" s="3"/>
      <c r="J186" s="2"/>
      <c r="K186" s="51"/>
      <c r="O186" s="5"/>
      <c r="P186" s="5"/>
      <c r="R186" s="6"/>
      <c r="S186" s="6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7"/>
      <c r="BH186" s="7"/>
      <c r="BI186" s="7"/>
      <c r="BJ186" s="7"/>
      <c r="BK186" s="7"/>
      <c r="BL186" s="7"/>
      <c r="BM186" s="7"/>
      <c r="BN186" s="8"/>
      <c r="BO186" s="9"/>
    </row>
    <row r="187" spans="1:67" s="4" customFormat="1" x14ac:dyDescent="0.2">
      <c r="A187" s="2"/>
      <c r="B187" s="2"/>
      <c r="C187" s="2"/>
      <c r="D187" s="2"/>
      <c r="E187" s="2"/>
      <c r="F187" s="2"/>
      <c r="G187" s="2"/>
      <c r="H187" s="3"/>
      <c r="I187" s="3"/>
      <c r="J187" s="2"/>
      <c r="K187" s="51"/>
      <c r="O187" s="5"/>
      <c r="P187" s="5"/>
      <c r="R187" s="6"/>
      <c r="S187" s="6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D187" s="7"/>
      <c r="BE187" s="7"/>
      <c r="BF187" s="7"/>
      <c r="BG187" s="7"/>
      <c r="BH187" s="7"/>
      <c r="BI187" s="7"/>
      <c r="BJ187" s="7"/>
      <c r="BK187" s="7"/>
      <c r="BL187" s="7"/>
      <c r="BM187" s="7"/>
      <c r="BN187" s="8"/>
      <c r="BO187" s="9"/>
    </row>
    <row r="188" spans="1:67" s="4" customFormat="1" x14ac:dyDescent="0.2">
      <c r="A188" s="2"/>
      <c r="B188" s="2"/>
      <c r="C188" s="2"/>
      <c r="D188" s="2"/>
      <c r="E188" s="2"/>
      <c r="F188" s="2"/>
      <c r="G188" s="2"/>
      <c r="H188" s="3"/>
      <c r="I188" s="3"/>
      <c r="J188" s="2"/>
      <c r="K188" s="51"/>
      <c r="O188" s="5"/>
      <c r="P188" s="5"/>
      <c r="R188" s="6"/>
      <c r="S188" s="6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/>
      <c r="BE188" s="7"/>
      <c r="BF188" s="7"/>
      <c r="BG188" s="7"/>
      <c r="BH188" s="7"/>
      <c r="BI188" s="7"/>
      <c r="BJ188" s="7"/>
      <c r="BK188" s="7"/>
      <c r="BL188" s="7"/>
      <c r="BM188" s="7"/>
      <c r="BN188" s="8"/>
      <c r="BO188" s="9"/>
    </row>
    <row r="189" spans="1:67" s="4" customFormat="1" x14ac:dyDescent="0.2">
      <c r="A189" s="2"/>
      <c r="B189" s="2"/>
      <c r="C189" s="2"/>
      <c r="D189" s="2"/>
      <c r="E189" s="2"/>
      <c r="F189" s="2"/>
      <c r="G189" s="2"/>
      <c r="H189" s="3"/>
      <c r="I189" s="3"/>
      <c r="J189" s="2"/>
      <c r="K189" s="51"/>
      <c r="O189" s="5"/>
      <c r="P189" s="5"/>
      <c r="R189" s="6"/>
      <c r="S189" s="6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D189" s="7"/>
      <c r="BE189" s="7"/>
      <c r="BF189" s="7"/>
      <c r="BG189" s="7"/>
      <c r="BH189" s="7"/>
      <c r="BI189" s="7"/>
      <c r="BJ189" s="7"/>
      <c r="BK189" s="7"/>
      <c r="BL189" s="7"/>
      <c r="BM189" s="7"/>
      <c r="BN189" s="8"/>
      <c r="BO189" s="9"/>
    </row>
    <row r="190" spans="1:67" s="4" customFormat="1" x14ac:dyDescent="0.2">
      <c r="A190" s="2"/>
      <c r="B190" s="2"/>
      <c r="C190" s="2"/>
      <c r="D190" s="2"/>
      <c r="E190" s="2"/>
      <c r="F190" s="2"/>
      <c r="G190" s="2"/>
      <c r="H190" s="3"/>
      <c r="I190" s="3"/>
      <c r="J190" s="2"/>
      <c r="K190" s="51"/>
      <c r="O190" s="5"/>
      <c r="P190" s="5"/>
      <c r="R190" s="6"/>
      <c r="S190" s="6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D190" s="7"/>
      <c r="BE190" s="7"/>
      <c r="BF190" s="7"/>
      <c r="BG190" s="7"/>
      <c r="BH190" s="7"/>
      <c r="BI190" s="7"/>
      <c r="BJ190" s="7"/>
      <c r="BK190" s="7"/>
      <c r="BL190" s="7"/>
      <c r="BM190" s="7"/>
      <c r="BN190" s="8"/>
      <c r="BO190" s="9"/>
    </row>
    <row r="191" spans="1:67" s="4" customFormat="1" x14ac:dyDescent="0.2">
      <c r="A191" s="2"/>
      <c r="B191" s="2"/>
      <c r="C191" s="2"/>
      <c r="D191" s="2"/>
      <c r="E191" s="2"/>
      <c r="F191" s="2"/>
      <c r="G191" s="2"/>
      <c r="H191" s="3"/>
      <c r="I191" s="3"/>
      <c r="J191" s="2"/>
      <c r="K191" s="51"/>
      <c r="O191" s="5"/>
      <c r="P191" s="5"/>
      <c r="R191" s="6"/>
      <c r="S191" s="6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D191" s="7"/>
      <c r="BE191" s="7"/>
      <c r="BF191" s="7"/>
      <c r="BG191" s="7"/>
      <c r="BH191" s="7"/>
      <c r="BI191" s="7"/>
      <c r="BJ191" s="7"/>
      <c r="BK191" s="7"/>
      <c r="BL191" s="7"/>
      <c r="BM191" s="7"/>
      <c r="BN191" s="8"/>
      <c r="BO191" s="9"/>
    </row>
    <row r="192" spans="1:67" s="4" customFormat="1" x14ac:dyDescent="0.2">
      <c r="A192" s="2"/>
      <c r="B192" s="2"/>
      <c r="C192" s="2"/>
      <c r="D192" s="2"/>
      <c r="E192" s="2"/>
      <c r="F192" s="2"/>
      <c r="G192" s="2"/>
      <c r="H192" s="3"/>
      <c r="I192" s="3"/>
      <c r="J192" s="2"/>
      <c r="K192" s="51"/>
      <c r="O192" s="5"/>
      <c r="P192" s="5"/>
      <c r="R192" s="6"/>
      <c r="S192" s="6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D192" s="7"/>
      <c r="BE192" s="7"/>
      <c r="BF192" s="7"/>
      <c r="BG192" s="7"/>
      <c r="BH192" s="7"/>
      <c r="BI192" s="7"/>
      <c r="BJ192" s="7"/>
      <c r="BK192" s="7"/>
      <c r="BL192" s="7"/>
      <c r="BM192" s="7"/>
      <c r="BN192" s="8"/>
      <c r="BO192" s="9"/>
    </row>
    <row r="193" spans="1:67" s="4" customFormat="1" x14ac:dyDescent="0.2">
      <c r="A193" s="2"/>
      <c r="B193" s="2"/>
      <c r="C193" s="2"/>
      <c r="D193" s="2"/>
      <c r="E193" s="2"/>
      <c r="F193" s="2"/>
      <c r="G193" s="2"/>
      <c r="H193" s="3"/>
      <c r="I193" s="3"/>
      <c r="J193" s="2"/>
      <c r="K193" s="51"/>
      <c r="O193" s="5"/>
      <c r="P193" s="5"/>
      <c r="R193" s="6"/>
      <c r="S193" s="6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  <c r="BD193" s="7"/>
      <c r="BE193" s="7"/>
      <c r="BF193" s="7"/>
      <c r="BG193" s="7"/>
      <c r="BH193" s="7"/>
      <c r="BI193" s="7"/>
      <c r="BJ193" s="7"/>
      <c r="BK193" s="7"/>
      <c r="BL193" s="7"/>
      <c r="BM193" s="7"/>
      <c r="BN193" s="8"/>
      <c r="BO193" s="9"/>
    </row>
    <row r="194" spans="1:67" s="4" customFormat="1" x14ac:dyDescent="0.2">
      <c r="A194" s="2"/>
      <c r="B194" s="2"/>
      <c r="C194" s="2"/>
      <c r="D194" s="2"/>
      <c r="E194" s="2"/>
      <c r="F194" s="2"/>
      <c r="G194" s="2"/>
      <c r="H194" s="3"/>
      <c r="I194" s="3"/>
      <c r="J194" s="2"/>
      <c r="K194" s="51"/>
      <c r="O194" s="5"/>
      <c r="P194" s="5"/>
      <c r="R194" s="6"/>
      <c r="S194" s="6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D194" s="7"/>
      <c r="BE194" s="7"/>
      <c r="BF194" s="7"/>
      <c r="BG194" s="7"/>
      <c r="BH194" s="7"/>
      <c r="BI194" s="7"/>
      <c r="BJ194" s="7"/>
      <c r="BK194" s="7"/>
      <c r="BL194" s="7"/>
      <c r="BM194" s="7"/>
      <c r="BN194" s="8"/>
      <c r="BO194" s="9"/>
    </row>
    <row r="195" spans="1:67" s="4" customFormat="1" x14ac:dyDescent="0.2">
      <c r="A195" s="2"/>
      <c r="B195" s="2"/>
      <c r="C195" s="2"/>
      <c r="D195" s="2"/>
      <c r="E195" s="2"/>
      <c r="F195" s="2"/>
      <c r="G195" s="2"/>
      <c r="H195" s="3"/>
      <c r="I195" s="3"/>
      <c r="J195" s="2"/>
      <c r="K195" s="51"/>
      <c r="O195" s="5"/>
      <c r="P195" s="5"/>
      <c r="R195" s="6"/>
      <c r="S195" s="6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7"/>
      <c r="AT195" s="7"/>
      <c r="AU195" s="7"/>
      <c r="AV195" s="7"/>
      <c r="AW195" s="7"/>
      <c r="AX195" s="7"/>
      <c r="AY195" s="7"/>
      <c r="AZ195" s="7"/>
      <c r="BA195" s="7"/>
      <c r="BB195" s="7"/>
      <c r="BC195" s="7"/>
      <c r="BD195" s="7"/>
      <c r="BE195" s="7"/>
      <c r="BF195" s="7"/>
      <c r="BG195" s="7"/>
      <c r="BH195" s="7"/>
      <c r="BI195" s="7"/>
      <c r="BJ195" s="7"/>
      <c r="BK195" s="7"/>
      <c r="BL195" s="7"/>
      <c r="BM195" s="7"/>
      <c r="BN195" s="8"/>
      <c r="BO195" s="9"/>
    </row>
    <row r="196" spans="1:67" s="4" customFormat="1" x14ac:dyDescent="0.2">
      <c r="A196" s="2"/>
      <c r="B196" s="2"/>
      <c r="C196" s="2"/>
      <c r="D196" s="2"/>
      <c r="E196" s="2"/>
      <c r="F196" s="2"/>
      <c r="G196" s="2"/>
      <c r="H196" s="3"/>
      <c r="I196" s="3"/>
      <c r="J196" s="2"/>
      <c r="K196" s="51"/>
      <c r="O196" s="5"/>
      <c r="P196" s="5"/>
      <c r="R196" s="6"/>
      <c r="S196" s="6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D196" s="7"/>
      <c r="BE196" s="7"/>
      <c r="BF196" s="7"/>
      <c r="BG196" s="7"/>
      <c r="BH196" s="7"/>
      <c r="BI196" s="7"/>
      <c r="BJ196" s="7"/>
      <c r="BK196" s="7"/>
      <c r="BL196" s="7"/>
      <c r="BM196" s="7"/>
      <c r="BN196" s="8"/>
      <c r="BO196" s="9"/>
    </row>
    <row r="197" spans="1:67" s="4" customFormat="1" x14ac:dyDescent="0.2">
      <c r="A197" s="2"/>
      <c r="B197" s="2"/>
      <c r="C197" s="2"/>
      <c r="D197" s="2"/>
      <c r="E197" s="2"/>
      <c r="F197" s="2"/>
      <c r="G197" s="2"/>
      <c r="H197" s="3"/>
      <c r="I197" s="3"/>
      <c r="J197" s="2"/>
      <c r="K197" s="51"/>
      <c r="O197" s="5"/>
      <c r="P197" s="5"/>
      <c r="R197" s="6"/>
      <c r="S197" s="6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D197" s="7"/>
      <c r="BE197" s="7"/>
      <c r="BF197" s="7"/>
      <c r="BG197" s="7"/>
      <c r="BH197" s="7"/>
      <c r="BI197" s="7"/>
      <c r="BJ197" s="7"/>
      <c r="BK197" s="7"/>
      <c r="BL197" s="7"/>
      <c r="BM197" s="7"/>
      <c r="BN197" s="8"/>
      <c r="BO197" s="9"/>
    </row>
    <row r="198" spans="1:67" s="4" customFormat="1" x14ac:dyDescent="0.2">
      <c r="A198" s="2"/>
      <c r="B198" s="2"/>
      <c r="C198" s="2"/>
      <c r="D198" s="2"/>
      <c r="E198" s="2"/>
      <c r="F198" s="2"/>
      <c r="G198" s="2"/>
      <c r="H198" s="3"/>
      <c r="I198" s="3"/>
      <c r="J198" s="2"/>
      <c r="K198" s="51"/>
      <c r="O198" s="5"/>
      <c r="P198" s="5"/>
      <c r="R198" s="6"/>
      <c r="S198" s="6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D198" s="7"/>
      <c r="BE198" s="7"/>
      <c r="BF198" s="7"/>
      <c r="BG198" s="7"/>
      <c r="BH198" s="7"/>
      <c r="BI198" s="7"/>
      <c r="BJ198" s="7"/>
      <c r="BK198" s="7"/>
      <c r="BL198" s="7"/>
      <c r="BM198" s="7"/>
      <c r="BN198" s="8"/>
      <c r="BO198" s="9"/>
    </row>
    <row r="199" spans="1:67" s="4" customFormat="1" x14ac:dyDescent="0.2">
      <c r="A199" s="2"/>
      <c r="B199" s="2"/>
      <c r="C199" s="2"/>
      <c r="D199" s="2"/>
      <c r="E199" s="2"/>
      <c r="F199" s="2"/>
      <c r="G199" s="2"/>
      <c r="H199" s="3"/>
      <c r="I199" s="3"/>
      <c r="J199" s="2"/>
      <c r="K199" s="51"/>
      <c r="O199" s="5"/>
      <c r="P199" s="5"/>
      <c r="R199" s="6"/>
      <c r="S199" s="6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D199" s="7"/>
      <c r="BE199" s="7"/>
      <c r="BF199" s="7"/>
      <c r="BG199" s="7"/>
      <c r="BH199" s="7"/>
      <c r="BI199" s="7"/>
      <c r="BJ199" s="7"/>
      <c r="BK199" s="7"/>
      <c r="BL199" s="7"/>
      <c r="BM199" s="7"/>
      <c r="BN199" s="8"/>
      <c r="BO199" s="9"/>
    </row>
    <row r="200" spans="1:67" s="4" customFormat="1" x14ac:dyDescent="0.2">
      <c r="A200" s="2"/>
      <c r="B200" s="2"/>
      <c r="C200" s="2"/>
      <c r="D200" s="2"/>
      <c r="E200" s="2"/>
      <c r="F200" s="2"/>
      <c r="G200" s="2"/>
      <c r="H200" s="3"/>
      <c r="I200" s="3"/>
      <c r="J200" s="2"/>
      <c r="K200" s="51"/>
      <c r="O200" s="5"/>
      <c r="P200" s="5"/>
      <c r="R200" s="6"/>
      <c r="S200" s="6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D200" s="7"/>
      <c r="BE200" s="7"/>
      <c r="BF200" s="7"/>
      <c r="BG200" s="7"/>
      <c r="BH200" s="7"/>
      <c r="BI200" s="7"/>
      <c r="BJ200" s="7"/>
      <c r="BK200" s="7"/>
      <c r="BL200" s="7"/>
      <c r="BM200" s="7"/>
      <c r="BN200" s="8"/>
      <c r="BO200" s="9"/>
    </row>
    <row r="201" spans="1:67" s="4" customFormat="1" x14ac:dyDescent="0.2">
      <c r="A201" s="2"/>
      <c r="B201" s="2"/>
      <c r="C201" s="2"/>
      <c r="D201" s="2"/>
      <c r="E201" s="2"/>
      <c r="F201" s="2"/>
      <c r="G201" s="2"/>
      <c r="H201" s="3"/>
      <c r="I201" s="3"/>
      <c r="J201" s="2"/>
      <c r="K201" s="51"/>
      <c r="O201" s="5"/>
      <c r="P201" s="5"/>
      <c r="R201" s="6"/>
      <c r="S201" s="6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D201" s="7"/>
      <c r="BE201" s="7"/>
      <c r="BF201" s="7"/>
      <c r="BG201" s="7"/>
      <c r="BH201" s="7"/>
      <c r="BI201" s="7"/>
      <c r="BJ201" s="7"/>
      <c r="BK201" s="7"/>
      <c r="BL201" s="7"/>
      <c r="BM201" s="7"/>
      <c r="BN201" s="8"/>
      <c r="BO201" s="9"/>
    </row>
    <row r="202" spans="1:67" s="4" customFormat="1" x14ac:dyDescent="0.2">
      <c r="A202" s="2"/>
      <c r="B202" s="2"/>
      <c r="C202" s="2"/>
      <c r="D202" s="2"/>
      <c r="E202" s="2"/>
      <c r="F202" s="2"/>
      <c r="G202" s="2"/>
      <c r="H202" s="3"/>
      <c r="I202" s="3"/>
      <c r="J202" s="2"/>
      <c r="K202" s="51"/>
      <c r="O202" s="5"/>
      <c r="P202" s="5"/>
      <c r="R202" s="6"/>
      <c r="S202" s="6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D202" s="7"/>
      <c r="BE202" s="7"/>
      <c r="BF202" s="7"/>
      <c r="BG202" s="7"/>
      <c r="BH202" s="7"/>
      <c r="BI202" s="7"/>
      <c r="BJ202" s="7"/>
      <c r="BK202" s="7"/>
      <c r="BL202" s="7"/>
      <c r="BM202" s="7"/>
      <c r="BN202" s="8"/>
      <c r="BO202" s="9"/>
    </row>
    <row r="203" spans="1:67" s="4" customFormat="1" x14ac:dyDescent="0.2">
      <c r="A203" s="2"/>
      <c r="B203" s="2"/>
      <c r="C203" s="2"/>
      <c r="D203" s="2"/>
      <c r="E203" s="2"/>
      <c r="F203" s="2"/>
      <c r="G203" s="2"/>
      <c r="H203" s="3"/>
      <c r="I203" s="3"/>
      <c r="J203" s="2"/>
      <c r="K203" s="51"/>
      <c r="O203" s="5"/>
      <c r="P203" s="5"/>
      <c r="R203" s="6"/>
      <c r="S203" s="6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  <c r="BD203" s="7"/>
      <c r="BE203" s="7"/>
      <c r="BF203" s="7"/>
      <c r="BG203" s="7"/>
      <c r="BH203" s="7"/>
      <c r="BI203" s="7"/>
      <c r="BJ203" s="7"/>
      <c r="BK203" s="7"/>
      <c r="BL203" s="7"/>
      <c r="BM203" s="7"/>
      <c r="BN203" s="8"/>
      <c r="BO203" s="9"/>
    </row>
    <row r="204" spans="1:67" s="4" customFormat="1" x14ac:dyDescent="0.2">
      <c r="A204" s="2"/>
      <c r="B204" s="2"/>
      <c r="C204" s="2"/>
      <c r="D204" s="2"/>
      <c r="E204" s="2"/>
      <c r="F204" s="2"/>
      <c r="G204" s="2"/>
      <c r="H204" s="3"/>
      <c r="I204" s="3"/>
      <c r="J204" s="2"/>
      <c r="K204" s="51"/>
      <c r="O204" s="5"/>
      <c r="P204" s="5"/>
      <c r="R204" s="6"/>
      <c r="S204" s="6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7"/>
      <c r="AT204" s="7"/>
      <c r="AU204" s="7"/>
      <c r="AV204" s="7"/>
      <c r="AW204" s="7"/>
      <c r="AX204" s="7"/>
      <c r="AY204" s="7"/>
      <c r="AZ204" s="7"/>
      <c r="BA204" s="7"/>
      <c r="BB204" s="7"/>
      <c r="BC204" s="7"/>
      <c r="BD204" s="7"/>
      <c r="BE204" s="7"/>
      <c r="BF204" s="7"/>
      <c r="BG204" s="7"/>
      <c r="BH204" s="7"/>
      <c r="BI204" s="7"/>
      <c r="BJ204" s="7"/>
      <c r="BK204" s="7"/>
      <c r="BL204" s="7"/>
      <c r="BM204" s="7"/>
      <c r="BN204" s="8"/>
      <c r="BO204" s="9"/>
    </row>
    <row r="205" spans="1:67" s="4" customFormat="1" x14ac:dyDescent="0.2">
      <c r="A205" s="2"/>
      <c r="B205" s="2"/>
      <c r="C205" s="2"/>
      <c r="D205" s="2"/>
      <c r="E205" s="2"/>
      <c r="F205" s="2"/>
      <c r="G205" s="2"/>
      <c r="H205" s="3"/>
      <c r="I205" s="3"/>
      <c r="J205" s="2"/>
      <c r="K205" s="51"/>
      <c r="O205" s="5"/>
      <c r="P205" s="5"/>
      <c r="R205" s="6"/>
      <c r="S205" s="6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7"/>
      <c r="AT205" s="7"/>
      <c r="AU205" s="7"/>
      <c r="AV205" s="7"/>
      <c r="AW205" s="7"/>
      <c r="AX205" s="7"/>
      <c r="AY205" s="7"/>
      <c r="AZ205" s="7"/>
      <c r="BA205" s="7"/>
      <c r="BB205" s="7"/>
      <c r="BC205" s="7"/>
      <c r="BD205" s="7"/>
      <c r="BE205" s="7"/>
      <c r="BF205" s="7"/>
      <c r="BG205" s="7"/>
      <c r="BH205" s="7"/>
      <c r="BI205" s="7"/>
      <c r="BJ205" s="7"/>
      <c r="BK205" s="7"/>
      <c r="BL205" s="7"/>
      <c r="BM205" s="7"/>
      <c r="BN205" s="8"/>
      <c r="BO205" s="9"/>
    </row>
    <row r="206" spans="1:67" s="4" customFormat="1" x14ac:dyDescent="0.2">
      <c r="A206" s="2"/>
      <c r="B206" s="2"/>
      <c r="C206" s="2"/>
      <c r="D206" s="2"/>
      <c r="E206" s="2"/>
      <c r="F206" s="2"/>
      <c r="G206" s="2"/>
      <c r="H206" s="3"/>
      <c r="I206" s="3"/>
      <c r="J206" s="2"/>
      <c r="K206" s="51"/>
      <c r="O206" s="5"/>
      <c r="P206" s="5"/>
      <c r="R206" s="6"/>
      <c r="S206" s="6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  <c r="BD206" s="7"/>
      <c r="BE206" s="7"/>
      <c r="BF206" s="7"/>
      <c r="BG206" s="7"/>
      <c r="BH206" s="7"/>
      <c r="BI206" s="7"/>
      <c r="BJ206" s="7"/>
      <c r="BK206" s="7"/>
      <c r="BL206" s="7"/>
      <c r="BM206" s="7"/>
      <c r="BN206" s="8"/>
      <c r="BO206" s="9"/>
    </row>
    <row r="207" spans="1:67" s="4" customFormat="1" x14ac:dyDescent="0.2">
      <c r="A207" s="2"/>
      <c r="B207" s="2"/>
      <c r="C207" s="2"/>
      <c r="D207" s="2"/>
      <c r="E207" s="2"/>
      <c r="F207" s="2"/>
      <c r="G207" s="2"/>
      <c r="H207" s="3"/>
      <c r="I207" s="3"/>
      <c r="J207" s="2"/>
      <c r="K207" s="51"/>
      <c r="O207" s="5"/>
      <c r="P207" s="5"/>
      <c r="R207" s="6"/>
      <c r="S207" s="6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7"/>
      <c r="AT207" s="7"/>
      <c r="AU207" s="7"/>
      <c r="AV207" s="7"/>
      <c r="AW207" s="7"/>
      <c r="AX207" s="7"/>
      <c r="AY207" s="7"/>
      <c r="AZ207" s="7"/>
      <c r="BA207" s="7"/>
      <c r="BB207" s="7"/>
      <c r="BC207" s="7"/>
      <c r="BD207" s="7"/>
      <c r="BE207" s="7"/>
      <c r="BF207" s="7"/>
      <c r="BG207" s="7"/>
      <c r="BH207" s="7"/>
      <c r="BI207" s="7"/>
      <c r="BJ207" s="7"/>
      <c r="BK207" s="7"/>
      <c r="BL207" s="7"/>
      <c r="BM207" s="7"/>
      <c r="BN207" s="8"/>
      <c r="BO207" s="9"/>
    </row>
    <row r="208" spans="1:67" s="4" customFormat="1" x14ac:dyDescent="0.2">
      <c r="A208" s="2"/>
      <c r="B208" s="2"/>
      <c r="C208" s="2"/>
      <c r="D208" s="2"/>
      <c r="E208" s="2"/>
      <c r="F208" s="2"/>
      <c r="G208" s="2"/>
      <c r="H208" s="3"/>
      <c r="I208" s="3"/>
      <c r="J208" s="2"/>
      <c r="K208" s="51"/>
      <c r="O208" s="5"/>
      <c r="P208" s="5"/>
      <c r="R208" s="6"/>
      <c r="S208" s="6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7"/>
      <c r="AT208" s="7"/>
      <c r="AU208" s="7"/>
      <c r="AV208" s="7"/>
      <c r="AW208" s="7"/>
      <c r="AX208" s="7"/>
      <c r="AY208" s="7"/>
      <c r="AZ208" s="7"/>
      <c r="BA208" s="7"/>
      <c r="BB208" s="7"/>
      <c r="BC208" s="7"/>
      <c r="BD208" s="7"/>
      <c r="BE208" s="7"/>
      <c r="BF208" s="7"/>
      <c r="BG208" s="7"/>
      <c r="BH208" s="7"/>
      <c r="BI208" s="7"/>
      <c r="BJ208" s="7"/>
      <c r="BK208" s="7"/>
      <c r="BL208" s="7"/>
      <c r="BM208" s="7"/>
      <c r="BN208" s="8"/>
      <c r="BO208" s="9"/>
    </row>
    <row r="209" spans="1:67" s="4" customFormat="1" x14ac:dyDescent="0.2">
      <c r="A209" s="2"/>
      <c r="B209" s="2"/>
      <c r="C209" s="2"/>
      <c r="D209" s="2"/>
      <c r="E209" s="2"/>
      <c r="F209" s="2"/>
      <c r="G209" s="2"/>
      <c r="H209" s="3"/>
      <c r="I209" s="3"/>
      <c r="J209" s="2"/>
      <c r="K209" s="51"/>
      <c r="O209" s="5"/>
      <c r="P209" s="5"/>
      <c r="R209" s="6"/>
      <c r="S209" s="6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7"/>
      <c r="AT209" s="7"/>
      <c r="AU209" s="7"/>
      <c r="AV209" s="7"/>
      <c r="AW209" s="7"/>
      <c r="AX209" s="7"/>
      <c r="AY209" s="7"/>
      <c r="AZ209" s="7"/>
      <c r="BA209" s="7"/>
      <c r="BB209" s="7"/>
      <c r="BC209" s="7"/>
      <c r="BD209" s="7"/>
      <c r="BE209" s="7"/>
      <c r="BF209" s="7"/>
      <c r="BG209" s="7"/>
      <c r="BH209" s="7"/>
      <c r="BI209" s="7"/>
      <c r="BJ209" s="7"/>
      <c r="BK209" s="7"/>
      <c r="BL209" s="7"/>
      <c r="BM209" s="7"/>
      <c r="BN209" s="8"/>
      <c r="BO209" s="9"/>
    </row>
    <row r="210" spans="1:67" s="4" customFormat="1" x14ac:dyDescent="0.2">
      <c r="A210" s="2"/>
      <c r="B210" s="2"/>
      <c r="C210" s="2"/>
      <c r="D210" s="2"/>
      <c r="E210" s="2"/>
      <c r="F210" s="2"/>
      <c r="G210" s="2"/>
      <c r="H210" s="3"/>
      <c r="I210" s="3"/>
      <c r="J210" s="2"/>
      <c r="K210" s="51"/>
      <c r="O210" s="5"/>
      <c r="P210" s="5"/>
      <c r="R210" s="6"/>
      <c r="S210" s="6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7"/>
      <c r="AT210" s="7"/>
      <c r="AU210" s="7"/>
      <c r="AV210" s="7"/>
      <c r="AW210" s="7"/>
      <c r="AX210" s="7"/>
      <c r="AY210" s="7"/>
      <c r="AZ210" s="7"/>
      <c r="BA210" s="7"/>
      <c r="BB210" s="7"/>
      <c r="BC210" s="7"/>
      <c r="BD210" s="7"/>
      <c r="BE210" s="7"/>
      <c r="BF210" s="7"/>
      <c r="BG210" s="7"/>
      <c r="BH210" s="7"/>
      <c r="BI210" s="7"/>
      <c r="BJ210" s="7"/>
      <c r="BK210" s="7"/>
      <c r="BL210" s="7"/>
      <c r="BM210" s="7"/>
      <c r="BN210" s="8"/>
      <c r="BO210" s="9"/>
    </row>
    <row r="211" spans="1:67" s="4" customFormat="1" x14ac:dyDescent="0.2">
      <c r="A211" s="2"/>
      <c r="B211" s="2"/>
      <c r="C211" s="2"/>
      <c r="D211" s="2"/>
      <c r="E211" s="2"/>
      <c r="F211" s="2"/>
      <c r="G211" s="2"/>
      <c r="H211" s="3"/>
      <c r="I211" s="3"/>
      <c r="J211" s="2"/>
      <c r="K211" s="51"/>
      <c r="O211" s="5"/>
      <c r="P211" s="5"/>
      <c r="R211" s="6"/>
      <c r="S211" s="6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7"/>
      <c r="AT211" s="7"/>
      <c r="AU211" s="7"/>
      <c r="AV211" s="7"/>
      <c r="AW211" s="7"/>
      <c r="AX211" s="7"/>
      <c r="AY211" s="7"/>
      <c r="AZ211" s="7"/>
      <c r="BA211" s="7"/>
      <c r="BB211" s="7"/>
      <c r="BC211" s="7"/>
      <c r="BD211" s="7"/>
      <c r="BE211" s="7"/>
      <c r="BF211" s="7"/>
      <c r="BG211" s="7"/>
      <c r="BH211" s="7"/>
      <c r="BI211" s="7"/>
      <c r="BJ211" s="7"/>
      <c r="BK211" s="7"/>
      <c r="BL211" s="7"/>
      <c r="BM211" s="7"/>
      <c r="BN211" s="8"/>
      <c r="BO211" s="9"/>
    </row>
    <row r="212" spans="1:67" s="4" customFormat="1" x14ac:dyDescent="0.2">
      <c r="A212" s="2"/>
      <c r="B212" s="2"/>
      <c r="C212" s="2"/>
      <c r="D212" s="2"/>
      <c r="E212" s="2"/>
      <c r="F212" s="2"/>
      <c r="G212" s="2"/>
      <c r="H212" s="3"/>
      <c r="I212" s="3"/>
      <c r="J212" s="2"/>
      <c r="K212" s="51"/>
      <c r="O212" s="5"/>
      <c r="P212" s="5"/>
      <c r="R212" s="6"/>
      <c r="S212" s="6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7"/>
      <c r="AT212" s="7"/>
      <c r="AU212" s="7"/>
      <c r="AV212" s="7"/>
      <c r="AW212" s="7"/>
      <c r="AX212" s="7"/>
      <c r="AY212" s="7"/>
      <c r="AZ212" s="7"/>
      <c r="BA212" s="7"/>
      <c r="BB212" s="7"/>
      <c r="BC212" s="7"/>
      <c r="BD212" s="7"/>
      <c r="BE212" s="7"/>
      <c r="BF212" s="7"/>
      <c r="BG212" s="7"/>
      <c r="BH212" s="7"/>
      <c r="BI212" s="7"/>
      <c r="BJ212" s="7"/>
      <c r="BK212" s="7"/>
      <c r="BL212" s="7"/>
      <c r="BM212" s="7"/>
      <c r="BN212" s="8"/>
      <c r="BO212" s="9"/>
    </row>
    <row r="213" spans="1:67" s="4" customFormat="1" x14ac:dyDescent="0.2">
      <c r="A213" s="2"/>
      <c r="B213" s="2"/>
      <c r="C213" s="2"/>
      <c r="D213" s="2"/>
      <c r="E213" s="2"/>
      <c r="F213" s="2"/>
      <c r="G213" s="2"/>
      <c r="H213" s="3"/>
      <c r="I213" s="3"/>
      <c r="J213" s="2"/>
      <c r="K213" s="51"/>
      <c r="O213" s="5"/>
      <c r="P213" s="5"/>
      <c r="R213" s="6"/>
      <c r="S213" s="6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7"/>
      <c r="AT213" s="7"/>
      <c r="AU213" s="7"/>
      <c r="AV213" s="7"/>
      <c r="AW213" s="7"/>
      <c r="AX213" s="7"/>
      <c r="AY213" s="7"/>
      <c r="AZ213" s="7"/>
      <c r="BA213" s="7"/>
      <c r="BB213" s="7"/>
      <c r="BC213" s="7"/>
      <c r="BD213" s="7"/>
      <c r="BE213" s="7"/>
      <c r="BF213" s="7"/>
      <c r="BG213" s="7"/>
      <c r="BH213" s="7"/>
      <c r="BI213" s="7"/>
      <c r="BJ213" s="7"/>
      <c r="BK213" s="7"/>
      <c r="BL213" s="7"/>
      <c r="BM213" s="7"/>
      <c r="BN213" s="8"/>
      <c r="BO213" s="9"/>
    </row>
    <row r="214" spans="1:67" s="4" customFormat="1" x14ac:dyDescent="0.2">
      <c r="A214" s="2"/>
      <c r="B214" s="2"/>
      <c r="C214" s="2"/>
      <c r="D214" s="2"/>
      <c r="E214" s="2"/>
      <c r="F214" s="2"/>
      <c r="G214" s="2"/>
      <c r="H214" s="3"/>
      <c r="I214" s="3"/>
      <c r="J214" s="2"/>
      <c r="K214" s="51"/>
      <c r="O214" s="5"/>
      <c r="P214" s="5"/>
      <c r="R214" s="6"/>
      <c r="S214" s="6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7"/>
      <c r="AT214" s="7"/>
      <c r="AU214" s="7"/>
      <c r="AV214" s="7"/>
      <c r="AW214" s="7"/>
      <c r="AX214" s="7"/>
      <c r="AY214" s="7"/>
      <c r="AZ214" s="7"/>
      <c r="BA214" s="7"/>
      <c r="BB214" s="7"/>
      <c r="BC214" s="7"/>
      <c r="BD214" s="7"/>
      <c r="BE214" s="7"/>
      <c r="BF214" s="7"/>
      <c r="BG214" s="7"/>
      <c r="BH214" s="7"/>
      <c r="BI214" s="7"/>
      <c r="BJ214" s="7"/>
      <c r="BK214" s="7"/>
      <c r="BL214" s="7"/>
      <c r="BM214" s="7"/>
      <c r="BN214" s="8"/>
      <c r="BO214" s="9"/>
    </row>
    <row r="215" spans="1:67" s="4" customFormat="1" x14ac:dyDescent="0.2">
      <c r="A215" s="2"/>
      <c r="B215" s="2"/>
      <c r="C215" s="2"/>
      <c r="D215" s="2"/>
      <c r="E215" s="2"/>
      <c r="F215" s="2"/>
      <c r="G215" s="2"/>
      <c r="H215" s="3"/>
      <c r="I215" s="3"/>
      <c r="J215" s="2"/>
      <c r="K215" s="51"/>
      <c r="O215" s="5"/>
      <c r="P215" s="5"/>
      <c r="R215" s="6"/>
      <c r="S215" s="6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7"/>
      <c r="AT215" s="7"/>
      <c r="AU215" s="7"/>
      <c r="AV215" s="7"/>
      <c r="AW215" s="7"/>
      <c r="AX215" s="7"/>
      <c r="AY215" s="7"/>
      <c r="AZ215" s="7"/>
      <c r="BA215" s="7"/>
      <c r="BB215" s="7"/>
      <c r="BC215" s="7"/>
      <c r="BD215" s="7"/>
      <c r="BE215" s="7"/>
      <c r="BF215" s="7"/>
      <c r="BG215" s="7"/>
      <c r="BH215" s="7"/>
      <c r="BI215" s="7"/>
      <c r="BJ215" s="7"/>
      <c r="BK215" s="7"/>
      <c r="BL215" s="7"/>
      <c r="BM215" s="7"/>
      <c r="BN215" s="8"/>
      <c r="BO215" s="9"/>
    </row>
    <row r="216" spans="1:67" s="4" customFormat="1" x14ac:dyDescent="0.2">
      <c r="A216" s="2"/>
      <c r="B216" s="2"/>
      <c r="C216" s="2"/>
      <c r="D216" s="2"/>
      <c r="E216" s="2"/>
      <c r="F216" s="2"/>
      <c r="G216" s="2"/>
      <c r="H216" s="3"/>
      <c r="I216" s="3"/>
      <c r="J216" s="2"/>
      <c r="K216" s="51"/>
      <c r="O216" s="5"/>
      <c r="P216" s="5"/>
      <c r="R216" s="6"/>
      <c r="S216" s="6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7"/>
      <c r="AT216" s="7"/>
      <c r="AU216" s="7"/>
      <c r="AV216" s="7"/>
      <c r="AW216" s="7"/>
      <c r="AX216" s="7"/>
      <c r="AY216" s="7"/>
      <c r="AZ216" s="7"/>
      <c r="BA216" s="7"/>
      <c r="BB216" s="7"/>
      <c r="BC216" s="7"/>
      <c r="BD216" s="7"/>
      <c r="BE216" s="7"/>
      <c r="BF216" s="7"/>
      <c r="BG216" s="7"/>
      <c r="BH216" s="7"/>
      <c r="BI216" s="7"/>
      <c r="BJ216" s="7"/>
      <c r="BK216" s="7"/>
      <c r="BL216" s="7"/>
      <c r="BM216" s="7"/>
      <c r="BN216" s="8"/>
      <c r="BO216" s="9"/>
    </row>
    <row r="217" spans="1:67" s="4" customFormat="1" x14ac:dyDescent="0.2">
      <c r="A217" s="2"/>
      <c r="B217" s="2"/>
      <c r="C217" s="2"/>
      <c r="D217" s="2"/>
      <c r="E217" s="2"/>
      <c r="F217" s="2"/>
      <c r="G217" s="2"/>
      <c r="H217" s="3"/>
      <c r="I217" s="3"/>
      <c r="J217" s="2"/>
      <c r="K217" s="51"/>
      <c r="O217" s="5"/>
      <c r="P217" s="5"/>
      <c r="R217" s="6"/>
      <c r="S217" s="6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7"/>
      <c r="AT217" s="7"/>
      <c r="AU217" s="7"/>
      <c r="AV217" s="7"/>
      <c r="AW217" s="7"/>
      <c r="AX217" s="7"/>
      <c r="AY217" s="7"/>
      <c r="AZ217" s="7"/>
      <c r="BA217" s="7"/>
      <c r="BB217" s="7"/>
      <c r="BC217" s="7"/>
      <c r="BD217" s="7"/>
      <c r="BE217" s="7"/>
      <c r="BF217" s="7"/>
      <c r="BG217" s="7"/>
      <c r="BH217" s="7"/>
      <c r="BI217" s="7"/>
      <c r="BJ217" s="7"/>
      <c r="BK217" s="7"/>
      <c r="BL217" s="7"/>
      <c r="BM217" s="7"/>
      <c r="BN217" s="8"/>
      <c r="BO217" s="9"/>
    </row>
    <row r="218" spans="1:67" s="4" customFormat="1" x14ac:dyDescent="0.2">
      <c r="A218" s="2"/>
      <c r="B218" s="2"/>
      <c r="C218" s="2"/>
      <c r="D218" s="2"/>
      <c r="E218" s="2"/>
      <c r="F218" s="2"/>
      <c r="G218" s="2"/>
      <c r="H218" s="3"/>
      <c r="I218" s="3"/>
      <c r="J218" s="2"/>
      <c r="K218" s="51"/>
      <c r="O218" s="5"/>
      <c r="P218" s="5"/>
      <c r="R218" s="6"/>
      <c r="S218" s="6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7"/>
      <c r="AT218" s="7"/>
      <c r="AU218" s="7"/>
      <c r="AV218" s="7"/>
      <c r="AW218" s="7"/>
      <c r="AX218" s="7"/>
      <c r="AY218" s="7"/>
      <c r="AZ218" s="7"/>
      <c r="BA218" s="7"/>
      <c r="BB218" s="7"/>
      <c r="BC218" s="7"/>
      <c r="BD218" s="7"/>
      <c r="BE218" s="7"/>
      <c r="BF218" s="7"/>
      <c r="BG218" s="7"/>
      <c r="BH218" s="7"/>
      <c r="BI218" s="7"/>
      <c r="BJ218" s="7"/>
      <c r="BK218" s="7"/>
      <c r="BL218" s="7"/>
      <c r="BM218" s="7"/>
      <c r="BN218" s="8"/>
      <c r="BO218" s="9"/>
    </row>
    <row r="219" spans="1:67" s="4" customFormat="1" x14ac:dyDescent="0.2">
      <c r="A219" s="2"/>
      <c r="B219" s="2"/>
      <c r="C219" s="2"/>
      <c r="D219" s="2"/>
      <c r="E219" s="2"/>
      <c r="F219" s="2"/>
      <c r="G219" s="2"/>
      <c r="H219" s="3"/>
      <c r="I219" s="3"/>
      <c r="J219" s="2"/>
      <c r="K219" s="51"/>
      <c r="O219" s="5"/>
      <c r="P219" s="5"/>
      <c r="R219" s="6"/>
      <c r="S219" s="6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7"/>
      <c r="AT219" s="7"/>
      <c r="AU219" s="7"/>
      <c r="AV219" s="7"/>
      <c r="AW219" s="7"/>
      <c r="AX219" s="7"/>
      <c r="AY219" s="7"/>
      <c r="AZ219" s="7"/>
      <c r="BA219" s="7"/>
      <c r="BB219" s="7"/>
      <c r="BC219" s="7"/>
      <c r="BD219" s="7"/>
      <c r="BE219" s="7"/>
      <c r="BF219" s="7"/>
      <c r="BG219" s="7"/>
      <c r="BH219" s="7"/>
      <c r="BI219" s="7"/>
      <c r="BJ219" s="7"/>
      <c r="BK219" s="7"/>
      <c r="BL219" s="7"/>
      <c r="BM219" s="7"/>
      <c r="BN219" s="8"/>
      <c r="BO219" s="9"/>
    </row>
    <row r="220" spans="1:67" s="4" customFormat="1" x14ac:dyDescent="0.2">
      <c r="A220" s="2"/>
      <c r="B220" s="2"/>
      <c r="C220" s="2"/>
      <c r="D220" s="2"/>
      <c r="E220" s="2"/>
      <c r="F220" s="2"/>
      <c r="G220" s="2"/>
      <c r="H220" s="3"/>
      <c r="I220" s="3"/>
      <c r="J220" s="2"/>
      <c r="K220" s="51"/>
      <c r="O220" s="5"/>
      <c r="P220" s="5"/>
      <c r="R220" s="6"/>
      <c r="S220" s="6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7"/>
      <c r="AT220" s="7"/>
      <c r="AU220" s="7"/>
      <c r="AV220" s="7"/>
      <c r="AW220" s="7"/>
      <c r="AX220" s="7"/>
      <c r="AY220" s="7"/>
      <c r="AZ220" s="7"/>
      <c r="BA220" s="7"/>
      <c r="BB220" s="7"/>
      <c r="BC220" s="7"/>
      <c r="BD220" s="7"/>
      <c r="BE220" s="7"/>
      <c r="BF220" s="7"/>
      <c r="BG220" s="7"/>
      <c r="BH220" s="7"/>
      <c r="BI220" s="7"/>
      <c r="BJ220" s="7"/>
      <c r="BK220" s="7"/>
      <c r="BL220" s="7"/>
      <c r="BM220" s="7"/>
      <c r="BN220" s="8"/>
      <c r="BO220" s="9"/>
    </row>
    <row r="221" spans="1:67" s="4" customFormat="1" x14ac:dyDescent="0.2">
      <c r="A221" s="2"/>
      <c r="B221" s="2"/>
      <c r="C221" s="2"/>
      <c r="D221" s="2"/>
      <c r="E221" s="2"/>
      <c r="F221" s="2"/>
      <c r="G221" s="2"/>
      <c r="H221" s="3"/>
      <c r="I221" s="3"/>
      <c r="J221" s="2"/>
      <c r="K221" s="51"/>
      <c r="O221" s="5"/>
      <c r="P221" s="5"/>
      <c r="R221" s="6"/>
      <c r="S221" s="6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7"/>
      <c r="AT221" s="7"/>
      <c r="AU221" s="7"/>
      <c r="AV221" s="7"/>
      <c r="AW221" s="7"/>
      <c r="AX221" s="7"/>
      <c r="AY221" s="7"/>
      <c r="AZ221" s="7"/>
      <c r="BA221" s="7"/>
      <c r="BB221" s="7"/>
      <c r="BC221" s="7"/>
      <c r="BD221" s="7"/>
      <c r="BE221" s="7"/>
      <c r="BF221" s="7"/>
      <c r="BG221" s="7"/>
      <c r="BH221" s="7"/>
      <c r="BI221" s="7"/>
      <c r="BJ221" s="7"/>
      <c r="BK221" s="7"/>
      <c r="BL221" s="7"/>
      <c r="BM221" s="7"/>
      <c r="BN221" s="8"/>
      <c r="BO221" s="9"/>
    </row>
    <row r="222" spans="1:67" s="4" customFormat="1" x14ac:dyDescent="0.2">
      <c r="A222" s="2"/>
      <c r="B222" s="2"/>
      <c r="C222" s="2"/>
      <c r="D222" s="2"/>
      <c r="E222" s="2"/>
      <c r="F222" s="2"/>
      <c r="G222" s="2"/>
      <c r="H222" s="3"/>
      <c r="I222" s="3"/>
      <c r="J222" s="2"/>
      <c r="K222" s="51"/>
      <c r="O222" s="5"/>
      <c r="P222" s="5"/>
      <c r="R222" s="6"/>
      <c r="S222" s="6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7"/>
      <c r="AT222" s="7"/>
      <c r="AU222" s="7"/>
      <c r="AV222" s="7"/>
      <c r="AW222" s="7"/>
      <c r="AX222" s="7"/>
      <c r="AY222" s="7"/>
      <c r="AZ222" s="7"/>
      <c r="BA222" s="7"/>
      <c r="BB222" s="7"/>
      <c r="BC222" s="7"/>
      <c r="BD222" s="7"/>
      <c r="BE222" s="7"/>
      <c r="BF222" s="7"/>
      <c r="BG222" s="7"/>
      <c r="BH222" s="7"/>
      <c r="BI222" s="7"/>
      <c r="BJ222" s="7"/>
      <c r="BK222" s="7"/>
      <c r="BL222" s="7"/>
      <c r="BM222" s="7"/>
      <c r="BN222" s="8"/>
      <c r="BO222" s="9"/>
    </row>
    <row r="223" spans="1:67" s="4" customFormat="1" x14ac:dyDescent="0.2">
      <c r="A223" s="2"/>
      <c r="B223" s="2"/>
      <c r="C223" s="2"/>
      <c r="D223" s="2"/>
      <c r="E223" s="2"/>
      <c r="F223" s="2"/>
      <c r="G223" s="2"/>
      <c r="H223" s="3"/>
      <c r="I223" s="3"/>
      <c r="J223" s="2"/>
      <c r="K223" s="51"/>
      <c r="O223" s="5"/>
      <c r="P223" s="5"/>
      <c r="R223" s="6"/>
      <c r="S223" s="6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7"/>
      <c r="AT223" s="7"/>
      <c r="AU223" s="7"/>
      <c r="AV223" s="7"/>
      <c r="AW223" s="7"/>
      <c r="AX223" s="7"/>
      <c r="AY223" s="7"/>
      <c r="AZ223" s="7"/>
      <c r="BA223" s="7"/>
      <c r="BB223" s="7"/>
      <c r="BC223" s="7"/>
      <c r="BD223" s="7"/>
      <c r="BE223" s="7"/>
      <c r="BF223" s="7"/>
      <c r="BG223" s="7"/>
      <c r="BH223" s="7"/>
      <c r="BI223" s="7"/>
      <c r="BJ223" s="7"/>
      <c r="BK223" s="7"/>
      <c r="BL223" s="7"/>
      <c r="BM223" s="7"/>
      <c r="BN223" s="8"/>
      <c r="BO223" s="9"/>
    </row>
    <row r="224" spans="1:67" s="4" customFormat="1" x14ac:dyDescent="0.2">
      <c r="A224" s="2"/>
      <c r="B224" s="2"/>
      <c r="C224" s="2"/>
      <c r="D224" s="2"/>
      <c r="E224" s="2"/>
      <c r="F224" s="2"/>
      <c r="G224" s="2"/>
      <c r="H224" s="3"/>
      <c r="I224" s="3"/>
      <c r="J224" s="2"/>
      <c r="K224" s="51"/>
      <c r="O224" s="5"/>
      <c r="P224" s="5"/>
      <c r="R224" s="6"/>
      <c r="S224" s="6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7"/>
      <c r="AT224" s="7"/>
      <c r="AU224" s="7"/>
      <c r="AV224" s="7"/>
      <c r="AW224" s="7"/>
      <c r="AX224" s="7"/>
      <c r="AY224" s="7"/>
      <c r="AZ224" s="7"/>
      <c r="BA224" s="7"/>
      <c r="BB224" s="7"/>
      <c r="BC224" s="7"/>
      <c r="BD224" s="7"/>
      <c r="BE224" s="7"/>
      <c r="BF224" s="7"/>
      <c r="BG224" s="7"/>
      <c r="BH224" s="7"/>
      <c r="BI224" s="7"/>
      <c r="BJ224" s="7"/>
      <c r="BK224" s="7"/>
      <c r="BL224" s="7"/>
      <c r="BM224" s="7"/>
      <c r="BN224" s="8"/>
      <c r="BO224" s="9"/>
    </row>
    <row r="225" spans="1:67" s="4" customFormat="1" x14ac:dyDescent="0.2">
      <c r="A225" s="2"/>
      <c r="B225" s="2"/>
      <c r="C225" s="2"/>
      <c r="D225" s="2"/>
      <c r="E225" s="2"/>
      <c r="F225" s="2"/>
      <c r="G225" s="2"/>
      <c r="H225" s="3"/>
      <c r="I225" s="3"/>
      <c r="J225" s="2"/>
      <c r="K225" s="51"/>
      <c r="O225" s="5"/>
      <c r="P225" s="5"/>
      <c r="R225" s="6"/>
      <c r="S225" s="6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7"/>
      <c r="AT225" s="7"/>
      <c r="AU225" s="7"/>
      <c r="AV225" s="7"/>
      <c r="AW225" s="7"/>
      <c r="AX225" s="7"/>
      <c r="AY225" s="7"/>
      <c r="AZ225" s="7"/>
      <c r="BA225" s="7"/>
      <c r="BB225" s="7"/>
      <c r="BC225" s="7"/>
      <c r="BD225" s="7"/>
      <c r="BE225" s="7"/>
      <c r="BF225" s="7"/>
      <c r="BG225" s="7"/>
      <c r="BH225" s="7"/>
      <c r="BI225" s="7"/>
      <c r="BJ225" s="7"/>
      <c r="BK225" s="7"/>
      <c r="BL225" s="7"/>
      <c r="BM225" s="7"/>
      <c r="BN225" s="8"/>
      <c r="BO225" s="9"/>
    </row>
    <row r="226" spans="1:67" s="4" customFormat="1" x14ac:dyDescent="0.2">
      <c r="A226" s="2"/>
      <c r="B226" s="2"/>
      <c r="C226" s="2"/>
      <c r="D226" s="2"/>
      <c r="E226" s="2"/>
      <c r="F226" s="2"/>
      <c r="G226" s="2"/>
      <c r="H226" s="3"/>
      <c r="I226" s="3"/>
      <c r="J226" s="2"/>
      <c r="K226" s="51"/>
      <c r="O226" s="5"/>
      <c r="P226" s="5"/>
      <c r="R226" s="6"/>
      <c r="S226" s="6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7"/>
      <c r="AT226" s="7"/>
      <c r="AU226" s="7"/>
      <c r="AV226" s="7"/>
      <c r="AW226" s="7"/>
      <c r="AX226" s="7"/>
      <c r="AY226" s="7"/>
      <c r="AZ226" s="7"/>
      <c r="BA226" s="7"/>
      <c r="BB226" s="7"/>
      <c r="BC226" s="7"/>
      <c r="BD226" s="7"/>
      <c r="BE226" s="7"/>
      <c r="BF226" s="7"/>
      <c r="BG226" s="7"/>
      <c r="BH226" s="7"/>
      <c r="BI226" s="7"/>
      <c r="BJ226" s="7"/>
      <c r="BK226" s="7"/>
      <c r="BL226" s="7"/>
      <c r="BM226" s="7"/>
      <c r="BN226" s="8"/>
      <c r="BO226" s="9"/>
    </row>
    <row r="227" spans="1:67" s="4" customFormat="1" x14ac:dyDescent="0.2">
      <c r="A227" s="2"/>
      <c r="B227" s="2"/>
      <c r="C227" s="2"/>
      <c r="D227" s="2"/>
      <c r="E227" s="2"/>
      <c r="F227" s="2"/>
      <c r="G227" s="2"/>
      <c r="H227" s="3"/>
      <c r="I227" s="3"/>
      <c r="J227" s="2"/>
      <c r="K227" s="51"/>
      <c r="O227" s="5"/>
      <c r="P227" s="5"/>
      <c r="R227" s="6"/>
      <c r="S227" s="6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7"/>
      <c r="AT227" s="7"/>
      <c r="AU227" s="7"/>
      <c r="AV227" s="7"/>
      <c r="AW227" s="7"/>
      <c r="AX227" s="7"/>
      <c r="AY227" s="7"/>
      <c r="AZ227" s="7"/>
      <c r="BA227" s="7"/>
      <c r="BB227" s="7"/>
      <c r="BC227" s="7"/>
      <c r="BD227" s="7"/>
      <c r="BE227" s="7"/>
      <c r="BF227" s="7"/>
      <c r="BG227" s="7"/>
      <c r="BH227" s="7"/>
      <c r="BI227" s="7"/>
      <c r="BJ227" s="7"/>
      <c r="BK227" s="7"/>
      <c r="BL227" s="7"/>
      <c r="BM227" s="7"/>
      <c r="BN227" s="8"/>
      <c r="BO227" s="9"/>
    </row>
    <row r="228" spans="1:67" s="4" customFormat="1" x14ac:dyDescent="0.2">
      <c r="A228" s="2"/>
      <c r="B228" s="2"/>
      <c r="C228" s="2"/>
      <c r="D228" s="2"/>
      <c r="E228" s="2"/>
      <c r="F228" s="2"/>
      <c r="G228" s="2"/>
      <c r="H228" s="3"/>
      <c r="I228" s="3"/>
      <c r="J228" s="2"/>
      <c r="K228" s="51"/>
      <c r="O228" s="5"/>
      <c r="P228" s="5"/>
      <c r="R228" s="6"/>
      <c r="S228" s="6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7"/>
      <c r="AT228" s="7"/>
      <c r="AU228" s="7"/>
      <c r="AV228" s="7"/>
      <c r="AW228" s="7"/>
      <c r="AX228" s="7"/>
      <c r="AY228" s="7"/>
      <c r="AZ228" s="7"/>
      <c r="BA228" s="7"/>
      <c r="BB228" s="7"/>
      <c r="BC228" s="7"/>
      <c r="BD228" s="7"/>
      <c r="BE228" s="7"/>
      <c r="BF228" s="7"/>
      <c r="BG228" s="7"/>
      <c r="BH228" s="7"/>
      <c r="BI228" s="7"/>
      <c r="BJ228" s="7"/>
      <c r="BK228" s="7"/>
      <c r="BL228" s="7"/>
      <c r="BM228" s="7"/>
      <c r="BN228" s="8"/>
      <c r="BO228" s="9"/>
    </row>
    <row r="229" spans="1:67" s="4" customFormat="1" x14ac:dyDescent="0.2">
      <c r="A229" s="2"/>
      <c r="B229" s="2"/>
      <c r="C229" s="2"/>
      <c r="D229" s="2"/>
      <c r="E229" s="2"/>
      <c r="F229" s="2"/>
      <c r="G229" s="2"/>
      <c r="H229" s="3"/>
      <c r="I229" s="3"/>
      <c r="J229" s="2"/>
      <c r="K229" s="51"/>
      <c r="O229" s="5"/>
      <c r="P229" s="5"/>
      <c r="R229" s="6"/>
      <c r="S229" s="6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7"/>
      <c r="AT229" s="7"/>
      <c r="AU229" s="7"/>
      <c r="AV229" s="7"/>
      <c r="AW229" s="7"/>
      <c r="AX229" s="7"/>
      <c r="AY229" s="7"/>
      <c r="AZ229" s="7"/>
      <c r="BA229" s="7"/>
      <c r="BB229" s="7"/>
      <c r="BC229" s="7"/>
      <c r="BD229" s="7"/>
      <c r="BE229" s="7"/>
      <c r="BF229" s="7"/>
      <c r="BG229" s="7"/>
      <c r="BH229" s="7"/>
      <c r="BI229" s="7"/>
      <c r="BJ229" s="7"/>
      <c r="BK229" s="7"/>
      <c r="BL229" s="7"/>
      <c r="BM229" s="7"/>
      <c r="BN229" s="8"/>
      <c r="BO229" s="9"/>
    </row>
    <row r="230" spans="1:67" s="4" customFormat="1" x14ac:dyDescent="0.2">
      <c r="A230" s="2"/>
      <c r="B230" s="2"/>
      <c r="C230" s="2"/>
      <c r="D230" s="2"/>
      <c r="E230" s="2"/>
      <c r="F230" s="2"/>
      <c r="G230" s="2"/>
      <c r="H230" s="3"/>
      <c r="I230" s="3"/>
      <c r="J230" s="2"/>
      <c r="K230" s="51"/>
      <c r="O230" s="5"/>
      <c r="P230" s="5"/>
      <c r="R230" s="6"/>
      <c r="S230" s="6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7"/>
      <c r="AT230" s="7"/>
      <c r="AU230" s="7"/>
      <c r="AV230" s="7"/>
      <c r="AW230" s="7"/>
      <c r="AX230" s="7"/>
      <c r="AY230" s="7"/>
      <c r="AZ230" s="7"/>
      <c r="BA230" s="7"/>
      <c r="BB230" s="7"/>
      <c r="BC230" s="7"/>
      <c r="BD230" s="7"/>
      <c r="BE230" s="7"/>
      <c r="BF230" s="7"/>
      <c r="BG230" s="7"/>
      <c r="BH230" s="7"/>
      <c r="BI230" s="7"/>
      <c r="BJ230" s="7"/>
      <c r="BK230" s="7"/>
      <c r="BL230" s="7"/>
      <c r="BM230" s="7"/>
      <c r="BN230" s="8"/>
      <c r="BO230" s="9"/>
    </row>
    <row r="231" spans="1:67" s="4" customFormat="1" x14ac:dyDescent="0.2">
      <c r="A231" s="2"/>
      <c r="B231" s="2"/>
      <c r="C231" s="2"/>
      <c r="D231" s="2"/>
      <c r="E231" s="2"/>
      <c r="F231" s="2"/>
      <c r="G231" s="2"/>
      <c r="H231" s="3"/>
      <c r="I231" s="3"/>
      <c r="J231" s="2"/>
      <c r="K231" s="51"/>
      <c r="O231" s="5"/>
      <c r="P231" s="5"/>
      <c r="R231" s="6"/>
      <c r="S231" s="6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7"/>
      <c r="AT231" s="7"/>
      <c r="AU231" s="7"/>
      <c r="AV231" s="7"/>
      <c r="AW231" s="7"/>
      <c r="AX231" s="7"/>
      <c r="AY231" s="7"/>
      <c r="AZ231" s="7"/>
      <c r="BA231" s="7"/>
      <c r="BB231" s="7"/>
      <c r="BC231" s="7"/>
      <c r="BD231" s="7"/>
      <c r="BE231" s="7"/>
      <c r="BF231" s="7"/>
      <c r="BG231" s="7"/>
      <c r="BH231" s="7"/>
      <c r="BI231" s="7"/>
      <c r="BJ231" s="7"/>
      <c r="BK231" s="7"/>
      <c r="BL231" s="7"/>
      <c r="BM231" s="7"/>
      <c r="BN231" s="8"/>
      <c r="BO231" s="9"/>
    </row>
    <row r="232" spans="1:67" s="4" customFormat="1" x14ac:dyDescent="0.2">
      <c r="A232" s="2"/>
      <c r="B232" s="2"/>
      <c r="C232" s="2"/>
      <c r="D232" s="2"/>
      <c r="E232" s="2"/>
      <c r="F232" s="2"/>
      <c r="G232" s="2"/>
      <c r="H232" s="3"/>
      <c r="I232" s="3"/>
      <c r="J232" s="2"/>
      <c r="K232" s="51"/>
      <c r="O232" s="5"/>
      <c r="P232" s="5"/>
      <c r="R232" s="6"/>
      <c r="S232" s="6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7"/>
      <c r="AT232" s="7"/>
      <c r="AU232" s="7"/>
      <c r="AV232" s="7"/>
      <c r="AW232" s="7"/>
      <c r="AX232" s="7"/>
      <c r="AY232" s="7"/>
      <c r="AZ232" s="7"/>
      <c r="BA232" s="7"/>
      <c r="BB232" s="7"/>
      <c r="BC232" s="7"/>
      <c r="BD232" s="7"/>
      <c r="BE232" s="7"/>
      <c r="BF232" s="7"/>
      <c r="BG232" s="7"/>
      <c r="BH232" s="7"/>
      <c r="BI232" s="7"/>
      <c r="BJ232" s="7"/>
      <c r="BK232" s="7"/>
      <c r="BL232" s="7"/>
      <c r="BM232" s="7"/>
      <c r="BN232" s="8"/>
      <c r="BO232" s="9"/>
    </row>
    <row r="233" spans="1:67" s="4" customFormat="1" x14ac:dyDescent="0.2">
      <c r="A233" s="2"/>
      <c r="B233" s="2"/>
      <c r="C233" s="2"/>
      <c r="D233" s="2"/>
      <c r="E233" s="2"/>
      <c r="F233" s="2"/>
      <c r="G233" s="2"/>
      <c r="H233" s="3"/>
      <c r="I233" s="3"/>
      <c r="J233" s="2"/>
      <c r="K233" s="51"/>
      <c r="O233" s="5"/>
      <c r="P233" s="5"/>
      <c r="R233" s="6"/>
      <c r="S233" s="6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7"/>
      <c r="AT233" s="7"/>
      <c r="AU233" s="7"/>
      <c r="AV233" s="7"/>
      <c r="AW233" s="7"/>
      <c r="AX233" s="7"/>
      <c r="AY233" s="7"/>
      <c r="AZ233" s="7"/>
      <c r="BA233" s="7"/>
      <c r="BB233" s="7"/>
      <c r="BC233" s="7"/>
      <c r="BD233" s="7"/>
      <c r="BE233" s="7"/>
      <c r="BF233" s="7"/>
      <c r="BG233" s="7"/>
      <c r="BH233" s="7"/>
      <c r="BI233" s="7"/>
      <c r="BJ233" s="7"/>
      <c r="BK233" s="7"/>
      <c r="BL233" s="7"/>
      <c r="BM233" s="7"/>
      <c r="BN233" s="8"/>
      <c r="BO233" s="9"/>
    </row>
    <row r="234" spans="1:67" s="4" customFormat="1" x14ac:dyDescent="0.2">
      <c r="A234" s="2"/>
      <c r="B234" s="2"/>
      <c r="C234" s="2"/>
      <c r="D234" s="2"/>
      <c r="E234" s="2"/>
      <c r="F234" s="2"/>
      <c r="G234" s="2"/>
      <c r="H234" s="3"/>
      <c r="I234" s="3"/>
      <c r="J234" s="2"/>
      <c r="K234" s="51"/>
      <c r="O234" s="5"/>
      <c r="P234" s="5"/>
      <c r="R234" s="6"/>
      <c r="S234" s="6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7"/>
      <c r="AT234" s="7"/>
      <c r="AU234" s="7"/>
      <c r="AV234" s="7"/>
      <c r="AW234" s="7"/>
      <c r="AX234" s="7"/>
      <c r="AY234" s="7"/>
      <c r="AZ234" s="7"/>
      <c r="BA234" s="7"/>
      <c r="BB234" s="7"/>
      <c r="BC234" s="7"/>
      <c r="BD234" s="7"/>
      <c r="BE234" s="7"/>
      <c r="BF234" s="7"/>
      <c r="BG234" s="7"/>
      <c r="BH234" s="7"/>
      <c r="BI234" s="7"/>
      <c r="BJ234" s="7"/>
      <c r="BK234" s="7"/>
      <c r="BL234" s="7"/>
      <c r="BM234" s="7"/>
      <c r="BN234" s="8"/>
      <c r="BO234" s="9"/>
    </row>
    <row r="235" spans="1:67" s="4" customFormat="1" x14ac:dyDescent="0.2">
      <c r="A235" s="2"/>
      <c r="B235" s="2"/>
      <c r="C235" s="2"/>
      <c r="D235" s="2"/>
      <c r="E235" s="2"/>
      <c r="F235" s="2"/>
      <c r="G235" s="2"/>
      <c r="H235" s="3"/>
      <c r="I235" s="3"/>
      <c r="J235" s="2"/>
      <c r="K235" s="51"/>
      <c r="O235" s="5"/>
      <c r="P235" s="5"/>
      <c r="R235" s="6"/>
      <c r="S235" s="6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7"/>
      <c r="AT235" s="7"/>
      <c r="AU235" s="7"/>
      <c r="AV235" s="7"/>
      <c r="AW235" s="7"/>
      <c r="AX235" s="7"/>
      <c r="AY235" s="7"/>
      <c r="AZ235" s="7"/>
      <c r="BA235" s="7"/>
      <c r="BB235" s="7"/>
      <c r="BC235" s="7"/>
      <c r="BD235" s="7"/>
      <c r="BE235" s="7"/>
      <c r="BF235" s="7"/>
      <c r="BG235" s="7"/>
      <c r="BH235" s="7"/>
      <c r="BI235" s="7"/>
      <c r="BJ235" s="7"/>
      <c r="BK235" s="7"/>
      <c r="BL235" s="7"/>
      <c r="BM235" s="7"/>
      <c r="BN235" s="8"/>
      <c r="BO235" s="9"/>
    </row>
    <row r="236" spans="1:67" s="4" customFormat="1" x14ac:dyDescent="0.2">
      <c r="A236" s="2"/>
      <c r="B236" s="2"/>
      <c r="C236" s="2"/>
      <c r="D236" s="2"/>
      <c r="E236" s="2"/>
      <c r="F236" s="2"/>
      <c r="G236" s="2"/>
      <c r="H236" s="3"/>
      <c r="I236" s="3"/>
      <c r="J236" s="2"/>
      <c r="K236" s="51"/>
      <c r="O236" s="5"/>
      <c r="P236" s="5"/>
      <c r="R236" s="6"/>
      <c r="S236" s="6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7"/>
      <c r="AT236" s="7"/>
      <c r="AU236" s="7"/>
      <c r="AV236" s="7"/>
      <c r="AW236" s="7"/>
      <c r="AX236" s="7"/>
      <c r="AY236" s="7"/>
      <c r="AZ236" s="7"/>
      <c r="BA236" s="7"/>
      <c r="BB236" s="7"/>
      <c r="BC236" s="7"/>
      <c r="BD236" s="7"/>
      <c r="BE236" s="7"/>
      <c r="BF236" s="7"/>
      <c r="BG236" s="7"/>
      <c r="BH236" s="7"/>
      <c r="BI236" s="7"/>
      <c r="BJ236" s="7"/>
      <c r="BK236" s="7"/>
      <c r="BL236" s="7"/>
      <c r="BM236" s="7"/>
      <c r="BN236" s="8"/>
      <c r="BO236" s="9"/>
    </row>
    <row r="237" spans="1:67" s="4" customFormat="1" x14ac:dyDescent="0.2">
      <c r="A237" s="2"/>
      <c r="B237" s="2"/>
      <c r="C237" s="2"/>
      <c r="D237" s="2"/>
      <c r="E237" s="2"/>
      <c r="F237" s="2"/>
      <c r="G237" s="2"/>
      <c r="H237" s="3"/>
      <c r="I237" s="3"/>
      <c r="J237" s="2"/>
      <c r="K237" s="51"/>
      <c r="O237" s="5"/>
      <c r="P237" s="5"/>
      <c r="R237" s="6"/>
      <c r="S237" s="6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7"/>
      <c r="AT237" s="7"/>
      <c r="AU237" s="7"/>
      <c r="AV237" s="7"/>
      <c r="AW237" s="7"/>
      <c r="AX237" s="7"/>
      <c r="AY237" s="7"/>
      <c r="AZ237" s="7"/>
      <c r="BA237" s="7"/>
      <c r="BB237" s="7"/>
      <c r="BC237" s="7"/>
      <c r="BD237" s="7"/>
      <c r="BE237" s="7"/>
      <c r="BF237" s="7"/>
      <c r="BG237" s="7"/>
      <c r="BH237" s="7"/>
      <c r="BI237" s="7"/>
      <c r="BJ237" s="7"/>
      <c r="BK237" s="7"/>
      <c r="BL237" s="7"/>
      <c r="BM237" s="7"/>
      <c r="BN237" s="8"/>
      <c r="BO237" s="9"/>
    </row>
    <row r="238" spans="1:67" s="4" customFormat="1" x14ac:dyDescent="0.2">
      <c r="A238" s="2"/>
      <c r="B238" s="2"/>
      <c r="C238" s="2"/>
      <c r="D238" s="2"/>
      <c r="E238" s="2"/>
      <c r="F238" s="2"/>
      <c r="G238" s="2"/>
      <c r="H238" s="3"/>
      <c r="I238" s="3"/>
      <c r="J238" s="2"/>
      <c r="K238" s="51"/>
      <c r="O238" s="5"/>
      <c r="P238" s="5"/>
      <c r="R238" s="6"/>
      <c r="S238" s="6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7"/>
      <c r="AT238" s="7"/>
      <c r="AU238" s="7"/>
      <c r="AV238" s="7"/>
      <c r="AW238" s="7"/>
      <c r="AX238" s="7"/>
      <c r="AY238" s="7"/>
      <c r="AZ238" s="7"/>
      <c r="BA238" s="7"/>
      <c r="BB238" s="7"/>
      <c r="BC238" s="7"/>
      <c r="BD238" s="7"/>
      <c r="BE238" s="7"/>
      <c r="BF238" s="7"/>
      <c r="BG238" s="7"/>
      <c r="BH238" s="7"/>
      <c r="BI238" s="7"/>
      <c r="BJ238" s="7"/>
      <c r="BK238" s="7"/>
      <c r="BL238" s="7"/>
      <c r="BM238" s="7"/>
      <c r="BN238" s="8"/>
      <c r="BO238" s="9"/>
    </row>
    <row r="239" spans="1:67" s="4" customFormat="1" x14ac:dyDescent="0.2">
      <c r="A239" s="2"/>
      <c r="B239" s="2"/>
      <c r="C239" s="2"/>
      <c r="D239" s="2"/>
      <c r="E239" s="2"/>
      <c r="F239" s="2"/>
      <c r="G239" s="2"/>
      <c r="H239" s="3"/>
      <c r="I239" s="3"/>
      <c r="J239" s="2"/>
      <c r="K239" s="51"/>
      <c r="O239" s="5"/>
      <c r="P239" s="5"/>
      <c r="R239" s="6"/>
      <c r="S239" s="6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7"/>
      <c r="AT239" s="7"/>
      <c r="AU239" s="7"/>
      <c r="AV239" s="7"/>
      <c r="AW239" s="7"/>
      <c r="AX239" s="7"/>
      <c r="AY239" s="7"/>
      <c r="AZ239" s="7"/>
      <c r="BA239" s="7"/>
      <c r="BB239" s="7"/>
      <c r="BC239" s="7"/>
      <c r="BD239" s="7"/>
      <c r="BE239" s="7"/>
      <c r="BF239" s="7"/>
      <c r="BG239" s="7"/>
      <c r="BH239" s="7"/>
      <c r="BI239" s="7"/>
      <c r="BJ239" s="7"/>
      <c r="BK239" s="7"/>
      <c r="BL239" s="7"/>
      <c r="BM239" s="7"/>
      <c r="BN239" s="8"/>
      <c r="BO239" s="9"/>
    </row>
    <row r="240" spans="1:67" s="4" customFormat="1" x14ac:dyDescent="0.2">
      <c r="A240" s="2"/>
      <c r="B240" s="2"/>
      <c r="C240" s="2"/>
      <c r="D240" s="2"/>
      <c r="E240" s="2"/>
      <c r="F240" s="2"/>
      <c r="G240" s="2"/>
      <c r="H240" s="3"/>
      <c r="I240" s="3"/>
      <c r="J240" s="2"/>
      <c r="K240" s="51"/>
      <c r="O240" s="5"/>
      <c r="P240" s="5"/>
      <c r="R240" s="6"/>
      <c r="S240" s="6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7"/>
      <c r="AT240" s="7"/>
      <c r="AU240" s="7"/>
      <c r="AV240" s="7"/>
      <c r="AW240" s="7"/>
      <c r="AX240" s="7"/>
      <c r="AY240" s="7"/>
      <c r="AZ240" s="7"/>
      <c r="BA240" s="7"/>
      <c r="BB240" s="7"/>
      <c r="BC240" s="7"/>
      <c r="BD240" s="7"/>
      <c r="BE240" s="7"/>
      <c r="BF240" s="7"/>
      <c r="BG240" s="7"/>
      <c r="BH240" s="7"/>
      <c r="BI240" s="7"/>
      <c r="BJ240" s="7"/>
      <c r="BK240" s="7"/>
      <c r="BL240" s="7"/>
      <c r="BM240" s="7"/>
      <c r="BN240" s="8"/>
      <c r="BO240" s="9"/>
    </row>
    <row r="241" spans="1:67" s="4" customFormat="1" x14ac:dyDescent="0.2">
      <c r="A241" s="2"/>
      <c r="B241" s="2"/>
      <c r="C241" s="2"/>
      <c r="D241" s="2"/>
      <c r="E241" s="2"/>
      <c r="F241" s="2"/>
      <c r="G241" s="2"/>
      <c r="H241" s="3"/>
      <c r="I241" s="3"/>
      <c r="J241" s="2"/>
      <c r="K241" s="51"/>
      <c r="O241" s="5"/>
      <c r="P241" s="5"/>
      <c r="R241" s="6"/>
      <c r="S241" s="6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7"/>
      <c r="AT241" s="7"/>
      <c r="AU241" s="7"/>
      <c r="AV241" s="7"/>
      <c r="AW241" s="7"/>
      <c r="AX241" s="7"/>
      <c r="AY241" s="7"/>
      <c r="AZ241" s="7"/>
      <c r="BA241" s="7"/>
      <c r="BB241" s="7"/>
      <c r="BC241" s="7"/>
      <c r="BD241" s="7"/>
      <c r="BE241" s="7"/>
      <c r="BF241" s="7"/>
      <c r="BG241" s="7"/>
      <c r="BH241" s="7"/>
      <c r="BI241" s="7"/>
      <c r="BJ241" s="7"/>
      <c r="BK241" s="7"/>
      <c r="BL241" s="7"/>
      <c r="BM241" s="7"/>
      <c r="BN241" s="8"/>
      <c r="BO241" s="9"/>
    </row>
    <row r="242" spans="1:67" s="4" customFormat="1" x14ac:dyDescent="0.2">
      <c r="A242" s="2"/>
      <c r="B242" s="2"/>
      <c r="C242" s="2"/>
      <c r="D242" s="2"/>
      <c r="E242" s="2"/>
      <c r="F242" s="2"/>
      <c r="G242" s="2"/>
      <c r="H242" s="3"/>
      <c r="I242" s="3"/>
      <c r="J242" s="2"/>
      <c r="K242" s="51"/>
      <c r="O242" s="5"/>
      <c r="P242" s="5"/>
      <c r="R242" s="6"/>
      <c r="S242" s="6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7"/>
      <c r="AT242" s="7"/>
      <c r="AU242" s="7"/>
      <c r="AV242" s="7"/>
      <c r="AW242" s="7"/>
      <c r="AX242" s="7"/>
      <c r="AY242" s="7"/>
      <c r="AZ242" s="7"/>
      <c r="BA242" s="7"/>
      <c r="BB242" s="7"/>
      <c r="BC242" s="7"/>
      <c r="BD242" s="7"/>
      <c r="BE242" s="7"/>
      <c r="BF242" s="7"/>
      <c r="BG242" s="7"/>
      <c r="BH242" s="7"/>
      <c r="BI242" s="7"/>
      <c r="BJ242" s="7"/>
      <c r="BK242" s="7"/>
      <c r="BL242" s="7"/>
      <c r="BM242" s="7"/>
      <c r="BN242" s="8"/>
      <c r="BO242" s="9"/>
    </row>
    <row r="243" spans="1:67" s="4" customFormat="1" x14ac:dyDescent="0.2">
      <c r="A243" s="2"/>
      <c r="B243" s="2"/>
      <c r="C243" s="2"/>
      <c r="D243" s="2"/>
      <c r="E243" s="2"/>
      <c r="F243" s="2"/>
      <c r="G243" s="2"/>
      <c r="H243" s="3"/>
      <c r="I243" s="3"/>
      <c r="J243" s="2"/>
      <c r="K243" s="51"/>
      <c r="O243" s="5"/>
      <c r="P243" s="5"/>
      <c r="R243" s="6"/>
      <c r="S243" s="6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7"/>
      <c r="AT243" s="7"/>
      <c r="AU243" s="7"/>
      <c r="AV243" s="7"/>
      <c r="AW243" s="7"/>
      <c r="AX243" s="7"/>
      <c r="AY243" s="7"/>
      <c r="AZ243" s="7"/>
      <c r="BA243" s="7"/>
      <c r="BB243" s="7"/>
      <c r="BC243" s="7"/>
      <c r="BD243" s="7"/>
      <c r="BE243" s="7"/>
      <c r="BF243" s="7"/>
      <c r="BG243" s="7"/>
      <c r="BH243" s="7"/>
      <c r="BI243" s="7"/>
      <c r="BJ243" s="7"/>
      <c r="BK243" s="7"/>
      <c r="BL243" s="7"/>
      <c r="BM243" s="7"/>
      <c r="BN243" s="8"/>
      <c r="BO243" s="9"/>
    </row>
    <row r="244" spans="1:67" s="4" customFormat="1" x14ac:dyDescent="0.2">
      <c r="A244" s="2"/>
      <c r="B244" s="2"/>
      <c r="C244" s="2"/>
      <c r="D244" s="2"/>
      <c r="E244" s="2"/>
      <c r="F244" s="2"/>
      <c r="G244" s="2"/>
      <c r="H244" s="3"/>
      <c r="I244" s="3"/>
      <c r="J244" s="2"/>
      <c r="K244" s="51"/>
      <c r="O244" s="5"/>
      <c r="P244" s="5"/>
      <c r="R244" s="6"/>
      <c r="S244" s="6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7"/>
      <c r="AT244" s="7"/>
      <c r="AU244" s="7"/>
      <c r="AV244" s="7"/>
      <c r="AW244" s="7"/>
      <c r="AX244" s="7"/>
      <c r="AY244" s="7"/>
      <c r="AZ244" s="7"/>
      <c r="BA244" s="7"/>
      <c r="BB244" s="7"/>
      <c r="BC244" s="7"/>
      <c r="BD244" s="7"/>
      <c r="BE244" s="7"/>
      <c r="BF244" s="7"/>
      <c r="BG244" s="7"/>
      <c r="BH244" s="7"/>
      <c r="BI244" s="7"/>
      <c r="BJ244" s="7"/>
      <c r="BK244" s="7"/>
      <c r="BL244" s="7"/>
      <c r="BM244" s="7"/>
      <c r="BN244" s="8"/>
      <c r="BO244" s="9"/>
    </row>
    <row r="245" spans="1:67" s="4" customFormat="1" x14ac:dyDescent="0.2">
      <c r="A245" s="2"/>
      <c r="B245" s="2"/>
      <c r="C245" s="2"/>
      <c r="D245" s="2"/>
      <c r="E245" s="2"/>
      <c r="F245" s="2"/>
      <c r="G245" s="2"/>
      <c r="H245" s="3"/>
      <c r="I245" s="3"/>
      <c r="J245" s="2"/>
      <c r="K245" s="51"/>
      <c r="O245" s="5"/>
      <c r="P245" s="5"/>
      <c r="R245" s="6"/>
      <c r="S245" s="6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7"/>
      <c r="AT245" s="7"/>
      <c r="AU245" s="7"/>
      <c r="AV245" s="7"/>
      <c r="AW245" s="7"/>
      <c r="AX245" s="7"/>
      <c r="AY245" s="7"/>
      <c r="AZ245" s="7"/>
      <c r="BA245" s="7"/>
      <c r="BB245" s="7"/>
      <c r="BC245" s="7"/>
      <c r="BD245" s="7"/>
      <c r="BE245" s="7"/>
      <c r="BF245" s="7"/>
      <c r="BG245" s="7"/>
      <c r="BH245" s="7"/>
      <c r="BI245" s="7"/>
      <c r="BJ245" s="7"/>
      <c r="BK245" s="7"/>
      <c r="BL245" s="7"/>
      <c r="BM245" s="7"/>
      <c r="BN245" s="8"/>
      <c r="BO245" s="9"/>
    </row>
    <row r="246" spans="1:67" s="4" customFormat="1" x14ac:dyDescent="0.2">
      <c r="A246" s="2"/>
      <c r="B246" s="2"/>
      <c r="C246" s="2"/>
      <c r="D246" s="2"/>
      <c r="E246" s="2"/>
      <c r="F246" s="2"/>
      <c r="G246" s="2"/>
      <c r="H246" s="3"/>
      <c r="I246" s="3"/>
      <c r="J246" s="2"/>
      <c r="K246" s="51"/>
      <c r="O246" s="5"/>
      <c r="P246" s="5"/>
      <c r="R246" s="6"/>
      <c r="S246" s="6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7"/>
      <c r="AT246" s="7"/>
      <c r="AU246" s="7"/>
      <c r="AV246" s="7"/>
      <c r="AW246" s="7"/>
      <c r="AX246" s="7"/>
      <c r="AY246" s="7"/>
      <c r="AZ246" s="7"/>
      <c r="BA246" s="7"/>
      <c r="BB246" s="7"/>
      <c r="BC246" s="7"/>
      <c r="BD246" s="7"/>
      <c r="BE246" s="7"/>
      <c r="BF246" s="7"/>
      <c r="BG246" s="7"/>
      <c r="BH246" s="7"/>
      <c r="BI246" s="7"/>
      <c r="BJ246" s="7"/>
      <c r="BK246" s="7"/>
      <c r="BL246" s="7"/>
      <c r="BM246" s="7"/>
      <c r="BN246" s="8"/>
      <c r="BO246" s="9"/>
    </row>
    <row r="247" spans="1:67" s="4" customFormat="1" x14ac:dyDescent="0.2">
      <c r="A247" s="2"/>
      <c r="B247" s="2"/>
      <c r="C247" s="2"/>
      <c r="D247" s="2"/>
      <c r="E247" s="2"/>
      <c r="F247" s="2"/>
      <c r="G247" s="2"/>
      <c r="H247" s="3"/>
      <c r="I247" s="3"/>
      <c r="J247" s="2"/>
      <c r="K247" s="51"/>
      <c r="O247" s="5"/>
      <c r="P247" s="5"/>
      <c r="R247" s="6"/>
      <c r="S247" s="6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7"/>
      <c r="AT247" s="7"/>
      <c r="AU247" s="7"/>
      <c r="AV247" s="7"/>
      <c r="AW247" s="7"/>
      <c r="AX247" s="7"/>
      <c r="AY247" s="7"/>
      <c r="AZ247" s="7"/>
      <c r="BA247" s="7"/>
      <c r="BB247" s="7"/>
      <c r="BC247" s="7"/>
      <c r="BD247" s="7"/>
      <c r="BE247" s="7"/>
      <c r="BF247" s="7"/>
      <c r="BG247" s="7"/>
      <c r="BH247" s="7"/>
      <c r="BI247" s="7"/>
      <c r="BJ247" s="7"/>
      <c r="BK247" s="7"/>
      <c r="BL247" s="7"/>
      <c r="BM247" s="7"/>
      <c r="BN247" s="8"/>
      <c r="BO247" s="9"/>
    </row>
    <row r="248" spans="1:67" s="4" customFormat="1" x14ac:dyDescent="0.2">
      <c r="A248" s="2"/>
      <c r="B248" s="2"/>
      <c r="C248" s="2"/>
      <c r="D248" s="2"/>
      <c r="E248" s="2"/>
      <c r="F248" s="2"/>
      <c r="G248" s="2"/>
      <c r="H248" s="3"/>
      <c r="I248" s="3"/>
      <c r="J248" s="2"/>
      <c r="K248" s="51"/>
      <c r="O248" s="5"/>
      <c r="P248" s="5"/>
      <c r="R248" s="6"/>
      <c r="S248" s="6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7"/>
      <c r="AT248" s="7"/>
      <c r="AU248" s="7"/>
      <c r="AV248" s="7"/>
      <c r="AW248" s="7"/>
      <c r="AX248" s="7"/>
      <c r="AY248" s="7"/>
      <c r="AZ248" s="7"/>
      <c r="BA248" s="7"/>
      <c r="BB248" s="7"/>
      <c r="BC248" s="7"/>
      <c r="BD248" s="7"/>
      <c r="BE248" s="7"/>
      <c r="BF248" s="7"/>
      <c r="BG248" s="7"/>
      <c r="BH248" s="7"/>
      <c r="BI248" s="7"/>
      <c r="BJ248" s="7"/>
      <c r="BK248" s="7"/>
      <c r="BL248" s="7"/>
      <c r="BM248" s="7"/>
      <c r="BN248" s="8"/>
      <c r="BO248" s="9"/>
    </row>
    <row r="249" spans="1:67" s="4" customFormat="1" x14ac:dyDescent="0.2">
      <c r="A249" s="2"/>
      <c r="B249" s="2"/>
      <c r="C249" s="2"/>
      <c r="D249" s="2"/>
      <c r="E249" s="2"/>
      <c r="F249" s="2"/>
      <c r="G249" s="2"/>
      <c r="H249" s="3"/>
      <c r="I249" s="3"/>
      <c r="J249" s="2"/>
      <c r="K249" s="51"/>
      <c r="O249" s="5"/>
      <c r="P249" s="5"/>
      <c r="R249" s="6"/>
      <c r="S249" s="6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7"/>
      <c r="AT249" s="7"/>
      <c r="AU249" s="7"/>
      <c r="AV249" s="7"/>
      <c r="AW249" s="7"/>
      <c r="AX249" s="7"/>
      <c r="AY249" s="7"/>
      <c r="AZ249" s="7"/>
      <c r="BA249" s="7"/>
      <c r="BB249" s="7"/>
      <c r="BC249" s="7"/>
      <c r="BD249" s="7"/>
      <c r="BE249" s="7"/>
      <c r="BF249" s="7"/>
      <c r="BG249" s="7"/>
      <c r="BH249" s="7"/>
      <c r="BI249" s="7"/>
      <c r="BJ249" s="7"/>
      <c r="BK249" s="7"/>
      <c r="BL249" s="7"/>
      <c r="BM249" s="7"/>
      <c r="BN249" s="8"/>
      <c r="BO249" s="9"/>
    </row>
  </sheetData>
  <autoFilter ref="A1:AS22" xr:uid="{00000000-0009-0000-0000-000000000000}">
    <filterColumn colId="17">
      <filters>
        <filter val="-"/>
      </filters>
    </filterColumn>
  </autoFilter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System testing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Kyle McNabb</dc:creator>
  <cp:lastModifiedBy>Bounthong Vongxaya</cp:lastModifiedBy>
  <cp:revision>1</cp:revision>
  <dcterms:created xsi:type="dcterms:W3CDTF">2023-11-30T03:26:00Z</dcterms:created>
  <dcterms:modified xsi:type="dcterms:W3CDTF">2026-03-04T09:45:16Z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EB6B39EE6CCB42D0ABC0024F38332BD5_12</vt:lpwstr>
  </property>
  <property fmtid="{D5CDD505-2E9C-101B-9397-08002B2CF9AE}" pid="3" name="KSOProductBuildVer">
    <vt:lpwstr>1033-12.2.0.21931</vt:lpwstr>
  </property>
</Properties>
</file>