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UNDP 2023/New contract_TE for database/IT Consulting Firm/Database Design/"/>
    </mc:Choice>
  </mc:AlternateContent>
  <xr:revisionPtr revIDLastSave="0" documentId="13_ncr:1_{28BE63BA-F4F8-E146-BB67-A2EC6877B5D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S3" i="1"/>
  <c r="AT3" i="1"/>
  <c r="AR4" i="1"/>
  <c r="AS4" i="1"/>
  <c r="AT4" i="1"/>
  <c r="AR5" i="1"/>
  <c r="AS5" i="1"/>
  <c r="AT5" i="1"/>
  <c r="AR6" i="1"/>
  <c r="AS6" i="1"/>
  <c r="AT6" i="1"/>
  <c r="AR7" i="1"/>
  <c r="AS7" i="1"/>
  <c r="AT7" i="1"/>
  <c r="AT2" i="1"/>
  <c r="AR2" i="1"/>
  <c r="AS2" i="1"/>
  <c r="AO3" i="1"/>
  <c r="AP3" i="1"/>
  <c r="AQ3" i="1"/>
  <c r="AO4" i="1"/>
  <c r="AP4" i="1"/>
  <c r="AQ4" i="1"/>
  <c r="AO5" i="1"/>
  <c r="AP5" i="1"/>
  <c r="AQ5" i="1"/>
  <c r="AO6" i="1"/>
  <c r="AP6" i="1"/>
  <c r="AQ6" i="1"/>
  <c r="AO7" i="1"/>
  <c r="AP7" i="1"/>
  <c r="AQ7" i="1"/>
  <c r="AQ2" i="1"/>
  <c r="AP2" i="1"/>
  <c r="AO2" i="1"/>
</calcChain>
</file>

<file path=xl/sharedStrings.xml><?xml version="1.0" encoding="utf-8"?>
<sst xmlns="http://schemas.openxmlformats.org/spreadsheetml/2006/main" count="250" uniqueCount="151">
  <si>
    <t>Province</t>
  </si>
  <si>
    <t>Khammouan</t>
  </si>
  <si>
    <t>580761167-900</t>
  </si>
  <si>
    <t>TIN</t>
  </si>
  <si>
    <t>No</t>
  </si>
  <si>
    <t/>
  </si>
  <si>
    <t>68</t>
  </si>
  <si>
    <t>70</t>
  </si>
  <si>
    <t>170</t>
  </si>
  <si>
    <t>480</t>
  </si>
  <si>
    <t>481</t>
  </si>
  <si>
    <t>441</t>
  </si>
  <si>
    <t>6</t>
  </si>
  <si>
    <t>12</t>
  </si>
  <si>
    <t>2</t>
  </si>
  <si>
    <t>1</t>
  </si>
  <si>
    <t>4</t>
  </si>
  <si>
    <t>3</t>
  </si>
  <si>
    <t>862</t>
  </si>
  <si>
    <t>1077</t>
  </si>
  <si>
    <t>1597</t>
  </si>
  <si>
    <t>2132</t>
  </si>
  <si>
    <t>3335</t>
  </si>
  <si>
    <t>4000</t>
  </si>
  <si>
    <t>4918</t>
  </si>
  <si>
    <t>5556</t>
  </si>
  <si>
    <t>10121</t>
  </si>
  <si>
    <t>6979</t>
  </si>
  <si>
    <t>10158</t>
  </si>
  <si>
    <t>7400</t>
  </si>
  <si>
    <t>12700</t>
  </si>
  <si>
    <t>22068</t>
  </si>
  <si>
    <t>BorderCode</t>
  </si>
  <si>
    <t>R1C10</t>
  </si>
  <si>
    <t>R3C60</t>
  </si>
  <si>
    <t>Border</t>
  </si>
  <si>
    <t>ດ່ານພາສີສາກົນບໍ່ເຕັນ</t>
  </si>
  <si>
    <t>ດ່ານພາສີສາກົນນາເພົ້າ</t>
  </si>
  <si>
    <t>TpyeofCustomsDeclare</t>
  </si>
  <si>
    <t>IM</t>
  </si>
  <si>
    <t>Processtp</t>
  </si>
  <si>
    <t>F</t>
  </si>
  <si>
    <t>000</t>
  </si>
  <si>
    <t>SpecialRole</t>
  </si>
  <si>
    <t>ACN</t>
  </si>
  <si>
    <t>ImportDocumentNumber</t>
  </si>
  <si>
    <t>21992</t>
  </si>
  <si>
    <t>32254</t>
  </si>
  <si>
    <t>26774</t>
  </si>
  <si>
    <t>59925</t>
  </si>
  <si>
    <t>30686</t>
  </si>
  <si>
    <t>27812</t>
  </si>
  <si>
    <t>31134</t>
  </si>
  <si>
    <t>ImportDocumentDate</t>
  </si>
  <si>
    <t>20/07/2023</t>
  </si>
  <si>
    <t>26/06/2023</t>
  </si>
  <si>
    <t>17/09/2021</t>
  </si>
  <si>
    <t>28/11/2023</t>
  </si>
  <si>
    <t>08/07/2021</t>
  </si>
  <si>
    <t>29/11/2023</t>
  </si>
  <si>
    <t>24/10/2022</t>
  </si>
  <si>
    <t>18/09/2021</t>
  </si>
  <si>
    <t>AssessNumber</t>
  </si>
  <si>
    <t>31880</t>
  </si>
  <si>
    <t>31470</t>
  </si>
  <si>
    <t>18500</t>
  </si>
  <si>
    <t>59642</t>
  </si>
  <si>
    <t>30658</t>
  </si>
  <si>
    <t>27559</t>
  </si>
  <si>
    <t>16060</t>
  </si>
  <si>
    <t>AssessDate</t>
  </si>
  <si>
    <t>TryDReceiptNo</t>
  </si>
  <si>
    <t>230720000284</t>
  </si>
  <si>
    <t>231129000065</t>
  </si>
  <si>
    <t>221024000105</t>
  </si>
  <si>
    <t>20210918490412</t>
  </si>
  <si>
    <t>230626000412</t>
  </si>
  <si>
    <t>202107081456624</t>
  </si>
  <si>
    <t>TryDReceiptDate</t>
  </si>
  <si>
    <t>ImportExportName</t>
  </si>
  <si>
    <t>ບ/ສ ຊີໂນ-ອາກຣີໂປຕາສ ຈຳກັດ
ໂພນພະເນົາ ໄຊເສດຖາ ນະຄອນຫລວງວຽງຈັນ
ໃບມອບອາກອນ 0179/ກສອ, 16/05/2023
ໃບ ອມພ 3168/ກສອ, 04/07/2022
ໃບຖືບັນຊີ 942/ກຄຊ, 06/07/2023</t>
  </si>
  <si>
    <t>ບ/ສ ຊີໂນ-ອາກຣີໂປຕາສ ຈຳກັດ
ໂພນພະເນົາ
ໄຊເສດຖາ
ນະຄອນຫລວງວຽງຈັນ</t>
  </si>
  <si>
    <t>ບ/ສ ຊີໂນ-ອາກຣີໂປຕາສ ຈຳກັດ
ໂພນພະເນົາ
ໄຊເສດຖາ
ນະຄອນຫລວງວຽງຈັນ</t>
  </si>
  <si>
    <t>ບ/ສ ຊີໂນ-ອາກຣີໂປຕາສ ຈຳກັດ
0
ໂພນພະເນົາ
ໄຊເສດຖາ
ຫຼວງນ້ຳທາ</t>
  </si>
  <si>
    <t>ບ/ສ ຊີໂນ-ອາກຣີໂປຕາສ ຈຳກັດ
ນາໄຊ
ໂພນພະເນົາ
ໄຊເສດຖາ
ນະຄອນຫຼວງວຽງຈັນ</t>
  </si>
  <si>
    <t>CustomsDeclareTIN</t>
  </si>
  <si>
    <t>977704808900</t>
  </si>
  <si>
    <t>625607046000</t>
  </si>
  <si>
    <t>681630811000</t>
  </si>
  <si>
    <t>CustomsDeclareName</t>
  </si>
  <si>
    <t>ບສ ເອັກຊິມ ຈຳກັດຜູ້ດຽວ
ໄຊເສດຖາ, ນ
ໄຊເສດຖາ, ນ</t>
  </si>
  <si>
    <t>ບ/ສ ຮຸ່ງອາລຸນການຄ້າ ຂາອອກ-ຂາເຂົາ
ບ ຫນອງບົວວຽງ
ມ ນຳທາ</t>
  </si>
  <si>
    <t>ບໍລິສັດ ຂົນສົ່ງສາກົນ ຈຳກັດ
ຈອມແກ້ວ, ນະຄອນໄກສອນພົມວິຫານ, ສະຫວັນ
ເລກທີ ອມພ 0293/ສອຂ.ສຂ, 10/03/2022</t>
  </si>
  <si>
    <t>ExportCountryCode</t>
  </si>
  <si>
    <t>CN</t>
  </si>
  <si>
    <t>LA</t>
  </si>
  <si>
    <t>VN</t>
  </si>
  <si>
    <t>Destinationcountrycode</t>
  </si>
  <si>
    <t>OriginalCountryCode</t>
  </si>
  <si>
    <t>List</t>
  </si>
  <si>
    <t>GoodsHS</t>
  </si>
  <si>
    <t>7208100000</t>
  </si>
  <si>
    <t>3923909000</t>
  </si>
  <si>
    <t>8431499000</t>
  </si>
  <si>
    <t>8426110000</t>
  </si>
  <si>
    <t>7216100000</t>
  </si>
  <si>
    <t>GoodsDescription</t>
  </si>
  <si>
    <t>ຖົ່າຜະລິດຕະພັນ(ຂະໜາດໂຕນ:90*90*125ຊມ) 
ຈຳນວນ 52 ມັດ= 350 ເປົາ = 12,700 ຖົງ
ໃບຢັ້ງຢືນ: 0001/ບຄຈ 03/03/2022
ຂໍ້ຕົກລົງ: 0444/ກຜທ.ທລ2 01/03/2022</t>
  </si>
  <si>
    <t>ຖົງຜະລິດຕະພັນ(ຂະໜາດໂຕນ)    415ເປົາ=8,300ອັນ
ໃບຢັ້ງຢືນຂໍ້ມູນ:05128/ຄຍງ/06.10.2020
ຂໍ໊ຕົກລົງ:1589/ກຜທ.ລທ2/05.10.2020
ມອບສິດ:284/SINO/10.09.2020</t>
  </si>
  <si>
    <t>ເຄນຍົກນໍ້າໜັກໄຟຟ້າແບບຄານດ່ຽວ LB5T-16.5M
ພ້ອມອຸປະກອນປະກອບຄົບຊຸດ(ບໍ່ທັນປະກອບ)
=3ຊຸດ=14ເປົ່າ/8ແກັດ/3ອັນ=31.134ກິໂລ
ອີນວອຍ:SINOMH20230622GL01/22.06.2023</t>
  </si>
  <si>
    <t>ປອກຈັບດ້ານລຸ່ມ =12ອັນ=1ແກັດ=68ກິໂລ</t>
  </si>
  <si>
    <t>ເຫລັກຮ່ອງ 160*63*6mm,6M =72ອັນ=7.400ກິໂລ</t>
  </si>
  <si>
    <t>ເຫຼັກແຜ່ນລາຍ = 1,077ກິໂລ</t>
  </si>
  <si>
    <t>Quantity</t>
  </si>
  <si>
    <t>45000</t>
  </si>
  <si>
    <t>15770</t>
  </si>
  <si>
    <t>0</t>
  </si>
  <si>
    <t>49800</t>
  </si>
  <si>
    <t>Unit</t>
  </si>
  <si>
    <t>NAR</t>
  </si>
  <si>
    <t>KGM</t>
  </si>
  <si>
    <t>DeclareWeight</t>
  </si>
  <si>
    <t>ActualWeight</t>
  </si>
  <si>
    <t>26670</t>
  </si>
  <si>
    <t>InvoiceAmountUSD</t>
  </si>
  <si>
    <t>76200</t>
  </si>
  <si>
    <t>InvoiceAmountLAK</t>
  </si>
  <si>
    <t>800775000</t>
  </si>
  <si>
    <t>1258671600</t>
  </si>
  <si>
    <t>477831000</t>
  </si>
  <si>
    <t>3247340</t>
  </si>
  <si>
    <t>384707500</t>
  </si>
  <si>
    <t>8176932</t>
  </si>
  <si>
    <t>Customs</t>
  </si>
  <si>
    <t>Excise</t>
  </si>
  <si>
    <t>VAT</t>
  </si>
  <si>
    <t>Profit</t>
  </si>
  <si>
    <t>RoadFund</t>
  </si>
  <si>
    <t>Total</t>
  </si>
  <si>
    <t>609700</t>
  </si>
  <si>
    <t>AJ</t>
  </si>
  <si>
    <t>Assessed</t>
  </si>
  <si>
    <t>TE_Customs</t>
  </si>
  <si>
    <t>TE_Excise</t>
  </si>
  <si>
    <t>TE_VAT</t>
  </si>
  <si>
    <t>Exemp_Customs</t>
  </si>
  <si>
    <t>Exempt_Excise</t>
  </si>
  <si>
    <t>Exempt_VAT</t>
  </si>
  <si>
    <t>Provision_Customs</t>
  </si>
  <si>
    <t>Provision_Excise</t>
  </si>
  <si>
    <t>Provision_VAT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</si>
</sst>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0" xfId="0" applyFill="1"/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"/>
  <sheetViews>
    <sheetView tabSelected="1" topLeftCell="S1" zoomScale="164" workbookViewId="0">
      <selection activeCell="V5" sqref="V5"/>
    </sheetView>
  </sheetViews>
  <sheetFormatPr baseColWidth="10" defaultColWidth="8.83203125" defaultRowHeight="15" x14ac:dyDescent="0.2"/>
  <cols>
    <col min="1" max="1" width="10.83203125" bestFit="1" customWidth="1"/>
    <col min="2" max="2" width="13.6640625" bestFit="1" customWidth="1"/>
    <col min="3" max="3" width="5.1640625" bestFit="1" customWidth="1"/>
    <col min="4" max="4" width="10.1640625" customWidth="1"/>
    <col min="5" max="5" width="16" bestFit="1" customWidth="1"/>
    <col min="7" max="7" width="8.5" bestFit="1" customWidth="1"/>
    <col min="8" max="8" width="6.1640625" customWidth="1"/>
    <col min="9" max="9" width="10.1640625" customWidth="1"/>
    <col min="11" max="11" width="10.5" bestFit="1" customWidth="1"/>
    <col min="12" max="12" width="7.83203125" bestFit="1" customWidth="1"/>
    <col min="13" max="13" width="10.5" bestFit="1" customWidth="1"/>
    <col min="14" max="14" width="17" bestFit="1" customWidth="1"/>
    <col min="15" max="15" width="10.5" bestFit="1" customWidth="1"/>
    <col min="16" max="16" width="50.83203125" customWidth="1"/>
    <col min="17" max="17" width="13.1640625" bestFit="1" customWidth="1"/>
    <col min="18" max="18" width="34.6640625" customWidth="1"/>
    <col min="19" max="19" width="8.6640625" bestFit="1" customWidth="1"/>
    <col min="20" max="20" width="8.5" bestFit="1" customWidth="1"/>
    <col min="21" max="21" width="8.6640625" bestFit="1" customWidth="1"/>
    <col min="22" max="22" width="3.83203125" bestFit="1" customWidth="1"/>
    <col min="23" max="23" width="11.1640625" bestFit="1" customWidth="1"/>
    <col min="24" max="24" width="45.1640625" customWidth="1"/>
    <col min="25" max="25" width="7.83203125" bestFit="1" customWidth="1"/>
    <col min="26" max="26" width="4.83203125" bestFit="1" customWidth="1"/>
    <col min="27" max="29" width="8.6640625" bestFit="1" customWidth="1"/>
    <col min="30" max="30" width="11.1640625" bestFit="1" customWidth="1"/>
    <col min="31" max="31" width="9.1640625" bestFit="1" customWidth="1"/>
    <col min="32" max="32" width="8.1640625" bestFit="1" customWidth="1"/>
    <col min="33" max="33" width="9.1640625" bestFit="1" customWidth="1"/>
    <col min="34" max="34" width="5.5" bestFit="1" customWidth="1"/>
    <col min="36" max="36" width="10.1640625" bestFit="1" customWidth="1"/>
    <col min="37" max="37" width="7.6640625" bestFit="1" customWidth="1"/>
    <col min="38" max="38" width="13.5" bestFit="1" customWidth="1"/>
    <col min="39" max="39" width="12.1640625" bestFit="1" customWidth="1"/>
    <col min="40" max="40" width="10.5" bestFit="1" customWidth="1"/>
    <col min="41" max="41" width="12.6640625" style="4" bestFit="1" customWidth="1"/>
    <col min="42" max="42" width="10" style="4" customWidth="1"/>
    <col min="43" max="43" width="12.6640625" style="4" bestFit="1" customWidth="1"/>
    <col min="44" max="46" width="14.83203125" style="4" customWidth="1"/>
  </cols>
  <sheetData>
    <row r="1" spans="1:46" s="8" customFormat="1" ht="52" customHeight="1" x14ac:dyDescent="0.2">
      <c r="A1" s="5" t="s">
        <v>0</v>
      </c>
      <c r="B1" s="5" t="s">
        <v>3</v>
      </c>
      <c r="C1" s="5" t="s">
        <v>4</v>
      </c>
      <c r="D1" s="5" t="s">
        <v>32</v>
      </c>
      <c r="E1" s="5" t="s">
        <v>35</v>
      </c>
      <c r="F1" s="5" t="s">
        <v>38</v>
      </c>
      <c r="G1" s="5" t="s">
        <v>40</v>
      </c>
      <c r="H1" s="5" t="s">
        <v>41</v>
      </c>
      <c r="I1" s="5" t="s">
        <v>43</v>
      </c>
      <c r="J1" s="5" t="s">
        <v>45</v>
      </c>
      <c r="K1" s="5" t="s">
        <v>53</v>
      </c>
      <c r="L1" s="5" t="s">
        <v>62</v>
      </c>
      <c r="M1" s="5" t="s">
        <v>70</v>
      </c>
      <c r="N1" s="5" t="s">
        <v>71</v>
      </c>
      <c r="O1" s="5" t="s">
        <v>78</v>
      </c>
      <c r="P1" s="5" t="s">
        <v>79</v>
      </c>
      <c r="Q1" s="5" t="s">
        <v>85</v>
      </c>
      <c r="R1" s="5" t="s">
        <v>89</v>
      </c>
      <c r="S1" s="5" t="s">
        <v>93</v>
      </c>
      <c r="T1" s="5" t="s">
        <v>97</v>
      </c>
      <c r="U1" s="5" t="s">
        <v>98</v>
      </c>
      <c r="V1" s="5" t="s">
        <v>99</v>
      </c>
      <c r="W1" s="5" t="s">
        <v>100</v>
      </c>
      <c r="X1" s="5" t="s">
        <v>106</v>
      </c>
      <c r="Y1" s="5" t="s">
        <v>113</v>
      </c>
      <c r="Z1" s="5" t="s">
        <v>118</v>
      </c>
      <c r="AA1" s="5" t="s">
        <v>121</v>
      </c>
      <c r="AB1" s="5" t="s">
        <v>122</v>
      </c>
      <c r="AC1" s="5" t="s">
        <v>124</v>
      </c>
      <c r="AD1" s="5" t="s">
        <v>126</v>
      </c>
      <c r="AE1" s="5" t="s">
        <v>133</v>
      </c>
      <c r="AF1" s="5" t="s">
        <v>134</v>
      </c>
      <c r="AG1" s="5" t="s">
        <v>135</v>
      </c>
      <c r="AH1" s="5" t="s">
        <v>136</v>
      </c>
      <c r="AI1" s="5" t="s">
        <v>137</v>
      </c>
      <c r="AJ1" s="5" t="s">
        <v>138</v>
      </c>
      <c r="AK1" s="5" t="s">
        <v>140</v>
      </c>
      <c r="AL1" s="5" t="s">
        <v>145</v>
      </c>
      <c r="AM1" s="5" t="s">
        <v>146</v>
      </c>
      <c r="AN1" s="5" t="s">
        <v>147</v>
      </c>
      <c r="AO1" s="6" t="s">
        <v>142</v>
      </c>
      <c r="AP1" s="6" t="s">
        <v>143</v>
      </c>
      <c r="AQ1" s="6" t="s">
        <v>144</v>
      </c>
      <c r="AR1" s="7" t="s">
        <v>148</v>
      </c>
      <c r="AS1" s="7" t="s">
        <v>149</v>
      </c>
      <c r="AT1" s="7" t="s">
        <v>150</v>
      </c>
    </row>
    <row r="2" spans="1:46" ht="30" customHeight="1" x14ac:dyDescent="0.2">
      <c r="A2" s="1" t="s">
        <v>1</v>
      </c>
      <c r="B2" s="1" t="s">
        <v>2</v>
      </c>
      <c r="C2" s="1" t="s">
        <v>22</v>
      </c>
      <c r="D2" s="1" t="s">
        <v>34</v>
      </c>
      <c r="E2" s="1" t="s">
        <v>37</v>
      </c>
      <c r="F2" s="1" t="s">
        <v>39</v>
      </c>
      <c r="G2" s="1" t="s">
        <v>23</v>
      </c>
      <c r="H2" s="1" t="s">
        <v>9</v>
      </c>
      <c r="I2" s="1" t="s">
        <v>5</v>
      </c>
      <c r="J2" s="1" t="s">
        <v>28</v>
      </c>
      <c r="K2" s="1" t="s">
        <v>60</v>
      </c>
      <c r="L2" s="1" t="s">
        <v>26</v>
      </c>
      <c r="M2" s="1" t="s">
        <v>60</v>
      </c>
      <c r="N2" s="1" t="s">
        <v>74</v>
      </c>
      <c r="O2" s="1" t="s">
        <v>60</v>
      </c>
      <c r="P2" s="1" t="s">
        <v>81</v>
      </c>
      <c r="Q2" s="1" t="s">
        <v>86</v>
      </c>
      <c r="R2" s="1" t="s">
        <v>90</v>
      </c>
      <c r="S2" s="1" t="s">
        <v>96</v>
      </c>
      <c r="T2" s="1" t="s">
        <v>95</v>
      </c>
      <c r="U2" s="1" t="s">
        <v>96</v>
      </c>
      <c r="V2" s="1" t="s">
        <v>15</v>
      </c>
      <c r="W2" s="1" t="s">
        <v>102</v>
      </c>
      <c r="X2" s="1" t="s">
        <v>107</v>
      </c>
      <c r="Y2" s="1" t="s">
        <v>30</v>
      </c>
      <c r="Z2" s="1" t="s">
        <v>120</v>
      </c>
      <c r="AA2" s="1" t="s">
        <v>48</v>
      </c>
      <c r="AB2" s="1" t="s">
        <v>123</v>
      </c>
      <c r="AC2" s="1" t="s">
        <v>125</v>
      </c>
      <c r="AD2" s="1" t="s">
        <v>128</v>
      </c>
      <c r="AE2" s="1">
        <v>0</v>
      </c>
      <c r="AF2" s="1">
        <v>0</v>
      </c>
      <c r="AG2" s="1">
        <v>0</v>
      </c>
      <c r="AH2" s="1" t="s">
        <v>116</v>
      </c>
      <c r="AI2" s="1" t="s">
        <v>5</v>
      </c>
      <c r="AJ2" s="1" t="s">
        <v>116</v>
      </c>
      <c r="AK2" s="1" t="s">
        <v>141</v>
      </c>
      <c r="AL2" s="1">
        <v>251734400</v>
      </c>
      <c r="AM2" s="1">
        <v>0</v>
      </c>
      <c r="AN2" s="1">
        <v>105728500</v>
      </c>
      <c r="AO2" s="3">
        <f>IF(AL2-AE2&gt;0, AL2-AE2, " ")</f>
        <v>251734400</v>
      </c>
      <c r="AP2" s="3" t="str">
        <f>IF(AM2-AF2&gt;0, AM2-AF2, " ")</f>
        <v xml:space="preserve"> </v>
      </c>
      <c r="AQ2" s="3">
        <f>IF(AN2-AG2&gt;0, AN2-AG2, " ")</f>
        <v>105728500</v>
      </c>
      <c r="AR2" s="2" t="str">
        <f>IF(AND(ISNUMBER(AO2),AO2&gt;0), G2 &amp; "-" &amp; H2, "")</f>
        <v>4000-480</v>
      </c>
      <c r="AS2" s="2" t="str">
        <f>IF(AND(ISNUMBER(AP2),AP2&gt;0), G2 &amp; "-" &amp; H2, "")</f>
        <v/>
      </c>
      <c r="AT2" s="2" t="str">
        <f>IF(AND(ISNUMBER(AQ2),AQ2&gt;0), G2 &amp; "-" &amp; H2, "")</f>
        <v>4000-480</v>
      </c>
    </row>
    <row r="3" spans="1:46" ht="30" customHeight="1" x14ac:dyDescent="0.2">
      <c r="A3" s="1" t="s">
        <v>1</v>
      </c>
      <c r="B3" s="1" t="s">
        <v>2</v>
      </c>
      <c r="C3" s="1" t="s">
        <v>20</v>
      </c>
      <c r="D3" s="1" t="s">
        <v>33</v>
      </c>
      <c r="E3" s="1" t="s">
        <v>36</v>
      </c>
      <c r="F3" s="1" t="s">
        <v>39</v>
      </c>
      <c r="G3" s="1" t="s">
        <v>23</v>
      </c>
      <c r="H3" s="1" t="s">
        <v>10</v>
      </c>
      <c r="I3" s="1" t="s">
        <v>5</v>
      </c>
      <c r="J3" s="1" t="s">
        <v>50</v>
      </c>
      <c r="K3" s="1" t="s">
        <v>56</v>
      </c>
      <c r="L3" s="1" t="s">
        <v>67</v>
      </c>
      <c r="M3" s="1" t="s">
        <v>61</v>
      </c>
      <c r="N3" s="1" t="s">
        <v>75</v>
      </c>
      <c r="O3" s="1" t="s">
        <v>61</v>
      </c>
      <c r="P3" s="1" t="s">
        <v>81</v>
      </c>
      <c r="Q3" s="1" t="s">
        <v>87</v>
      </c>
      <c r="R3" s="1" t="s">
        <v>91</v>
      </c>
      <c r="S3" s="1" t="s">
        <v>94</v>
      </c>
      <c r="T3" s="1" t="s">
        <v>95</v>
      </c>
      <c r="U3" s="1" t="s">
        <v>94</v>
      </c>
      <c r="V3" s="1" t="s">
        <v>15</v>
      </c>
      <c r="W3" s="1" t="s">
        <v>102</v>
      </c>
      <c r="X3" s="1" t="s">
        <v>108</v>
      </c>
      <c r="Y3" s="1" t="s">
        <v>115</v>
      </c>
      <c r="Z3" s="1" t="s">
        <v>120</v>
      </c>
      <c r="AA3" s="1" t="s">
        <v>69</v>
      </c>
      <c r="AB3" s="1" t="s">
        <v>115</v>
      </c>
      <c r="AC3" s="1" t="s">
        <v>117</v>
      </c>
      <c r="AD3" s="1" t="s">
        <v>129</v>
      </c>
      <c r="AE3" s="1">
        <v>0</v>
      </c>
      <c r="AF3" s="1">
        <v>0</v>
      </c>
      <c r="AG3" s="1">
        <v>0</v>
      </c>
      <c r="AH3" s="1" t="s">
        <v>116</v>
      </c>
      <c r="AI3" s="1" t="s">
        <v>5</v>
      </c>
      <c r="AJ3" s="1" t="s">
        <v>116</v>
      </c>
      <c r="AK3" s="1" t="s">
        <v>141</v>
      </c>
      <c r="AL3" s="1">
        <v>95566200</v>
      </c>
      <c r="AM3" s="1">
        <v>0</v>
      </c>
      <c r="AN3" s="1">
        <v>57339800</v>
      </c>
      <c r="AO3" s="3">
        <f t="shared" ref="AO3:AO7" si="0">IF(AL3-AE3&gt;0, AL3-AE3, " ")</f>
        <v>95566200</v>
      </c>
      <c r="AP3" s="3" t="str">
        <f t="shared" ref="AP3:AP7" si="1">IF(AM3-AF3&gt;0, AM3-AF3, " ")</f>
        <v xml:space="preserve"> </v>
      </c>
      <c r="AQ3" s="3">
        <f t="shared" ref="AQ3:AQ7" si="2">IF(AN3-AG3&gt;0, AN3-AG3, " ")</f>
        <v>57339800</v>
      </c>
      <c r="AR3" s="2" t="str">
        <f t="shared" ref="AR3:AR7" si="3">IF(AND(ISNUMBER(AO3),AO3&gt;0), G3 &amp; "-" &amp; H3, "")</f>
        <v>4000-481</v>
      </c>
      <c r="AS3" s="2" t="str">
        <f t="shared" ref="AS3:AS7" si="4">IF(AND(ISNUMBER(AP3),AP3&gt;0), G3 &amp; "-" &amp; H3, "")</f>
        <v/>
      </c>
      <c r="AT3" s="2" t="str">
        <f t="shared" ref="AT3:AT7" si="5">IF(AND(ISNUMBER(AQ3),AQ3&gt;0), G3 &amp; "-" &amp; H3, "")</f>
        <v>4000-481</v>
      </c>
    </row>
    <row r="4" spans="1:46" ht="30" customHeight="1" x14ac:dyDescent="0.2">
      <c r="A4" s="1" t="s">
        <v>1</v>
      </c>
      <c r="B4" s="1" t="s">
        <v>2</v>
      </c>
      <c r="C4" s="1" t="s">
        <v>25</v>
      </c>
      <c r="D4" s="1" t="s">
        <v>33</v>
      </c>
      <c r="E4" s="1" t="s">
        <v>36</v>
      </c>
      <c r="F4" s="1" t="s">
        <v>39</v>
      </c>
      <c r="G4" s="1" t="s">
        <v>23</v>
      </c>
      <c r="H4" s="1" t="s">
        <v>11</v>
      </c>
      <c r="I4" s="1" t="s">
        <v>5</v>
      </c>
      <c r="J4" s="1" t="s">
        <v>51</v>
      </c>
      <c r="K4" s="1" t="s">
        <v>55</v>
      </c>
      <c r="L4" s="1" t="s">
        <v>68</v>
      </c>
      <c r="M4" s="1" t="s">
        <v>55</v>
      </c>
      <c r="N4" s="1" t="s">
        <v>76</v>
      </c>
      <c r="O4" s="1" t="s">
        <v>55</v>
      </c>
      <c r="P4" s="1" t="s">
        <v>84</v>
      </c>
      <c r="Q4" s="1" t="s">
        <v>88</v>
      </c>
      <c r="R4" s="1" t="s">
        <v>92</v>
      </c>
      <c r="S4" s="1" t="s">
        <v>94</v>
      </c>
      <c r="T4" s="1" t="s">
        <v>95</v>
      </c>
      <c r="U4" s="1" t="s">
        <v>94</v>
      </c>
      <c r="V4" s="1" t="s">
        <v>15</v>
      </c>
      <c r="W4" s="1" t="s">
        <v>104</v>
      </c>
      <c r="X4" s="1" t="s">
        <v>109</v>
      </c>
      <c r="Y4" s="1" t="s">
        <v>17</v>
      </c>
      <c r="Z4" s="1" t="s">
        <v>119</v>
      </c>
      <c r="AA4" s="1" t="s">
        <v>64</v>
      </c>
      <c r="AB4" s="1" t="s">
        <v>52</v>
      </c>
      <c r="AC4" s="1" t="s">
        <v>114</v>
      </c>
      <c r="AD4" s="1" t="s">
        <v>127</v>
      </c>
      <c r="AE4" s="1">
        <v>0</v>
      </c>
      <c r="AF4" s="1">
        <v>0</v>
      </c>
      <c r="AG4" s="1">
        <v>0</v>
      </c>
      <c r="AH4" s="1" t="s">
        <v>116</v>
      </c>
      <c r="AI4" s="1" t="s">
        <v>5</v>
      </c>
      <c r="AJ4" s="1" t="s">
        <v>116</v>
      </c>
      <c r="AK4" s="1" t="s">
        <v>141</v>
      </c>
      <c r="AL4" s="1">
        <v>40038800</v>
      </c>
      <c r="AM4" s="1">
        <v>0</v>
      </c>
      <c r="AN4" s="1">
        <v>58857000</v>
      </c>
      <c r="AO4" s="3">
        <f t="shared" si="0"/>
        <v>40038800</v>
      </c>
      <c r="AP4" s="3" t="str">
        <f t="shared" si="1"/>
        <v xml:space="preserve"> </v>
      </c>
      <c r="AQ4" s="3">
        <f t="shared" si="2"/>
        <v>58857000</v>
      </c>
      <c r="AR4" s="2" t="str">
        <f t="shared" si="3"/>
        <v>4000-441</v>
      </c>
      <c r="AS4" s="2" t="str">
        <f t="shared" si="4"/>
        <v/>
      </c>
      <c r="AT4" s="2" t="str">
        <f t="shared" si="5"/>
        <v>4000-441</v>
      </c>
    </row>
    <row r="5" spans="1:46" ht="30" customHeight="1" x14ac:dyDescent="0.2">
      <c r="A5" s="1" t="s">
        <v>1</v>
      </c>
      <c r="B5" s="1" t="s">
        <v>2</v>
      </c>
      <c r="C5" s="1" t="s">
        <v>27</v>
      </c>
      <c r="D5" s="1" t="s">
        <v>33</v>
      </c>
      <c r="E5" s="1" t="s">
        <v>36</v>
      </c>
      <c r="F5" s="1" t="s">
        <v>39</v>
      </c>
      <c r="G5" s="1" t="s">
        <v>23</v>
      </c>
      <c r="H5" s="1" t="s">
        <v>42</v>
      </c>
      <c r="I5" s="1" t="s">
        <v>44</v>
      </c>
      <c r="J5" s="1" t="s">
        <v>47</v>
      </c>
      <c r="K5" s="1" t="s">
        <v>54</v>
      </c>
      <c r="L5" s="1" t="s">
        <v>63</v>
      </c>
      <c r="M5" s="1" t="s">
        <v>54</v>
      </c>
      <c r="N5" s="1" t="s">
        <v>72</v>
      </c>
      <c r="O5" s="1" t="s">
        <v>54</v>
      </c>
      <c r="P5" s="1" t="s">
        <v>80</v>
      </c>
      <c r="Q5" s="1" t="s">
        <v>88</v>
      </c>
      <c r="R5" s="1" t="s">
        <v>92</v>
      </c>
      <c r="S5" s="1" t="s">
        <v>94</v>
      </c>
      <c r="T5" s="1" t="s">
        <v>95</v>
      </c>
      <c r="U5" s="1" t="s">
        <v>94</v>
      </c>
      <c r="V5" s="1" t="s">
        <v>12</v>
      </c>
      <c r="W5" s="1" t="s">
        <v>103</v>
      </c>
      <c r="X5" s="1" t="s">
        <v>110</v>
      </c>
      <c r="Y5" s="1" t="s">
        <v>13</v>
      </c>
      <c r="Z5" s="1" t="s">
        <v>119</v>
      </c>
      <c r="AA5" s="1" t="s">
        <v>7</v>
      </c>
      <c r="AB5" s="1" t="s">
        <v>6</v>
      </c>
      <c r="AC5" s="1" t="s">
        <v>8</v>
      </c>
      <c r="AD5" s="1" t="s">
        <v>130</v>
      </c>
      <c r="AE5" s="1">
        <v>0</v>
      </c>
      <c r="AF5" s="1">
        <v>357300</v>
      </c>
      <c r="AG5" s="1">
        <v>252400</v>
      </c>
      <c r="AH5" s="1" t="s">
        <v>116</v>
      </c>
      <c r="AI5" s="1" t="s">
        <v>5</v>
      </c>
      <c r="AJ5" s="1" t="s">
        <v>139</v>
      </c>
      <c r="AK5" s="1" t="s">
        <v>141</v>
      </c>
      <c r="AL5" s="1">
        <v>162400</v>
      </c>
      <c r="AM5" s="1">
        <v>0</v>
      </c>
      <c r="AN5" s="1">
        <v>0</v>
      </c>
      <c r="AO5" s="3">
        <f t="shared" si="0"/>
        <v>162400</v>
      </c>
      <c r="AP5" s="3" t="str">
        <f t="shared" si="1"/>
        <v xml:space="preserve"> </v>
      </c>
      <c r="AQ5" s="3" t="str">
        <f t="shared" si="2"/>
        <v xml:space="preserve"> </v>
      </c>
      <c r="AR5" s="2" t="str">
        <f t="shared" si="3"/>
        <v>4000-000</v>
      </c>
      <c r="AS5" s="2" t="str">
        <f t="shared" si="4"/>
        <v/>
      </c>
      <c r="AT5" s="2" t="str">
        <f t="shared" si="5"/>
        <v/>
      </c>
    </row>
    <row r="6" spans="1:46" ht="30" customHeight="1" x14ac:dyDescent="0.2">
      <c r="A6" s="1" t="s">
        <v>1</v>
      </c>
      <c r="B6" s="1" t="s">
        <v>2</v>
      </c>
      <c r="C6" s="1" t="s">
        <v>24</v>
      </c>
      <c r="D6" s="1" t="s">
        <v>33</v>
      </c>
      <c r="E6" s="1" t="s">
        <v>36</v>
      </c>
      <c r="F6" s="1" t="s">
        <v>39</v>
      </c>
      <c r="G6" s="1" t="s">
        <v>23</v>
      </c>
      <c r="H6" s="1" t="s">
        <v>11</v>
      </c>
      <c r="I6" s="1" t="s">
        <v>5</v>
      </c>
      <c r="J6" s="1" t="s">
        <v>49</v>
      </c>
      <c r="K6" s="1" t="s">
        <v>57</v>
      </c>
      <c r="L6" s="1" t="s">
        <v>66</v>
      </c>
      <c r="M6" s="1" t="s">
        <v>59</v>
      </c>
      <c r="N6" s="1" t="s">
        <v>73</v>
      </c>
      <c r="O6" s="1" t="s">
        <v>59</v>
      </c>
      <c r="P6" s="1" t="s">
        <v>83</v>
      </c>
      <c r="Q6" s="1" t="s">
        <v>88</v>
      </c>
      <c r="R6" s="1" t="s">
        <v>5</v>
      </c>
      <c r="S6" s="1" t="s">
        <v>94</v>
      </c>
      <c r="T6" s="1" t="s">
        <v>95</v>
      </c>
      <c r="U6" s="1" t="s">
        <v>94</v>
      </c>
      <c r="V6" s="1" t="s">
        <v>14</v>
      </c>
      <c r="W6" s="1" t="s">
        <v>105</v>
      </c>
      <c r="X6" s="1" t="s">
        <v>111</v>
      </c>
      <c r="Y6" s="1" t="s">
        <v>29</v>
      </c>
      <c r="Z6" s="1" t="s">
        <v>120</v>
      </c>
      <c r="AA6" s="1" t="s">
        <v>29</v>
      </c>
      <c r="AB6" s="1" t="s">
        <v>29</v>
      </c>
      <c r="AC6" s="1" t="s">
        <v>65</v>
      </c>
      <c r="AD6" s="1" t="s">
        <v>131</v>
      </c>
      <c r="AE6" s="1">
        <v>0</v>
      </c>
      <c r="AF6" s="1">
        <v>0</v>
      </c>
      <c r="AG6" s="1">
        <v>0</v>
      </c>
      <c r="AH6" s="1" t="s">
        <v>116</v>
      </c>
      <c r="AI6" s="1" t="s">
        <v>5</v>
      </c>
      <c r="AJ6" s="1" t="s">
        <v>116</v>
      </c>
      <c r="AK6" s="1" t="s">
        <v>141</v>
      </c>
      <c r="AL6" s="1">
        <v>19235400</v>
      </c>
      <c r="AM6" s="1">
        <v>0</v>
      </c>
      <c r="AN6" s="1">
        <v>28276100</v>
      </c>
      <c r="AO6" s="3">
        <f t="shared" si="0"/>
        <v>19235400</v>
      </c>
      <c r="AP6" s="3" t="str">
        <f t="shared" si="1"/>
        <v xml:space="preserve"> </v>
      </c>
      <c r="AQ6" s="3">
        <f t="shared" si="2"/>
        <v>28276100</v>
      </c>
      <c r="AR6" s="2" t="str">
        <f t="shared" si="3"/>
        <v>4000-441</v>
      </c>
      <c r="AS6" s="2" t="str">
        <f t="shared" si="4"/>
        <v/>
      </c>
      <c r="AT6" s="2" t="str">
        <f t="shared" si="5"/>
        <v>4000-441</v>
      </c>
    </row>
    <row r="7" spans="1:46" ht="30" customHeight="1" x14ac:dyDescent="0.2">
      <c r="A7" s="1" t="s">
        <v>1</v>
      </c>
      <c r="B7" s="1" t="s">
        <v>2</v>
      </c>
      <c r="C7" s="1" t="s">
        <v>21</v>
      </c>
      <c r="D7" s="1" t="s">
        <v>33</v>
      </c>
      <c r="E7" s="1" t="s">
        <v>36</v>
      </c>
      <c r="F7" s="1" t="s">
        <v>39</v>
      </c>
      <c r="G7" s="1" t="s">
        <v>23</v>
      </c>
      <c r="H7" s="1" t="s">
        <v>10</v>
      </c>
      <c r="I7" s="1" t="s">
        <v>5</v>
      </c>
      <c r="J7" s="1" t="s">
        <v>31</v>
      </c>
      <c r="K7" s="1" t="s">
        <v>58</v>
      </c>
      <c r="L7" s="1" t="s">
        <v>46</v>
      </c>
      <c r="M7" s="1" t="s">
        <v>58</v>
      </c>
      <c r="N7" s="1" t="s">
        <v>77</v>
      </c>
      <c r="O7" s="1" t="s">
        <v>58</v>
      </c>
      <c r="P7" s="1" t="s">
        <v>82</v>
      </c>
      <c r="Q7" s="1" t="s">
        <v>87</v>
      </c>
      <c r="R7" s="1" t="s">
        <v>91</v>
      </c>
      <c r="S7" s="1" t="s">
        <v>94</v>
      </c>
      <c r="T7" s="1" t="s">
        <v>95</v>
      </c>
      <c r="U7" s="1" t="s">
        <v>94</v>
      </c>
      <c r="V7" s="1" t="s">
        <v>16</v>
      </c>
      <c r="W7" s="1" t="s">
        <v>101</v>
      </c>
      <c r="X7" s="1" t="s">
        <v>112</v>
      </c>
      <c r="Y7" s="1" t="s">
        <v>19</v>
      </c>
      <c r="Z7" s="1" t="s">
        <v>120</v>
      </c>
      <c r="AA7" s="1" t="s">
        <v>19</v>
      </c>
      <c r="AB7" s="1" t="s">
        <v>19</v>
      </c>
      <c r="AC7" s="1" t="s">
        <v>18</v>
      </c>
      <c r="AD7" s="1" t="s">
        <v>132</v>
      </c>
      <c r="AE7" s="1">
        <v>0</v>
      </c>
      <c r="AF7" s="1">
        <v>0</v>
      </c>
      <c r="AG7" s="1">
        <v>0</v>
      </c>
      <c r="AH7" s="1" t="s">
        <v>116</v>
      </c>
      <c r="AI7" s="1" t="s">
        <v>5</v>
      </c>
      <c r="AJ7" s="1" t="s">
        <v>116</v>
      </c>
      <c r="AK7" s="1" t="s">
        <v>141</v>
      </c>
      <c r="AL7" s="1">
        <v>408900</v>
      </c>
      <c r="AM7" s="1">
        <v>0</v>
      </c>
      <c r="AN7" s="1">
        <v>858600</v>
      </c>
      <c r="AO7" s="3">
        <f t="shared" si="0"/>
        <v>408900</v>
      </c>
      <c r="AP7" s="3" t="str">
        <f t="shared" si="1"/>
        <v xml:space="preserve"> </v>
      </c>
      <c r="AQ7" s="3">
        <f t="shared" si="2"/>
        <v>858600</v>
      </c>
      <c r="AR7" s="2" t="str">
        <f t="shared" si="3"/>
        <v>4000-481</v>
      </c>
      <c r="AS7" s="2" t="str">
        <f t="shared" si="4"/>
        <v/>
      </c>
      <c r="AT7" s="2" t="str">
        <f t="shared" si="5"/>
        <v>4000-481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Thiptaiya SYDAVONG</cp:lastModifiedBy>
  <dcterms:created xsi:type="dcterms:W3CDTF">2025-10-01T15:52:18Z</dcterms:created>
  <dcterms:modified xsi:type="dcterms:W3CDTF">2025-10-01T16:16:19Z</dcterms:modified>
</cp:coreProperties>
</file>