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pple/Documents/UNDP 2023/New contract_TE for database/IT Consulting Firm/"/>
    </mc:Choice>
  </mc:AlternateContent>
  <xr:revisionPtr revIDLastSave="0" documentId="13_ncr:1_{C5FFFDAA-D701-824A-8E88-C2E47C8DC75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IT" sheetId="2" r:id="rId1"/>
  </sheets>
  <definedNames>
    <definedName name="_xlnm._FilterDatabase" localSheetId="0" hidden="1">PIT!$A$1:$AD$12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10" i="2"/>
  <c r="AK2" i="2"/>
  <c r="AD3" i="2"/>
  <c r="AE3" i="2"/>
  <c r="AF3" i="2"/>
  <c r="AG3" i="2"/>
  <c r="AM3" i="2" s="1"/>
  <c r="AH3" i="2"/>
  <c r="AI3" i="2"/>
  <c r="AJ3" i="2"/>
  <c r="AL3" i="2"/>
  <c r="AD4" i="2"/>
  <c r="AE4" i="2"/>
  <c r="AF4" i="2"/>
  <c r="AM4" i="2" s="1"/>
  <c r="AG4" i="2"/>
  <c r="AH4" i="2"/>
  <c r="AI4" i="2"/>
  <c r="AJ4" i="2"/>
  <c r="AL4" i="2"/>
  <c r="AD5" i="2"/>
  <c r="AE5" i="2"/>
  <c r="AF5" i="2"/>
  <c r="AG5" i="2"/>
  <c r="AH5" i="2"/>
  <c r="AI5" i="2"/>
  <c r="AJ5" i="2"/>
  <c r="AL5" i="2"/>
  <c r="AM5" i="2"/>
  <c r="AD6" i="2"/>
  <c r="AM6" i="2" s="1"/>
  <c r="AE6" i="2"/>
  <c r="AF6" i="2"/>
  <c r="AG6" i="2"/>
  <c r="AH6" i="2"/>
  <c r="AI6" i="2"/>
  <c r="AJ6" i="2"/>
  <c r="AL6" i="2"/>
  <c r="AD8" i="2"/>
  <c r="AE8" i="2"/>
  <c r="AF8" i="2"/>
  <c r="AM8" i="2" s="1"/>
  <c r="AG8" i="2"/>
  <c r="AH8" i="2"/>
  <c r="AI8" i="2"/>
  <c r="AJ8" i="2"/>
  <c r="AL8" i="2"/>
  <c r="AM2" i="2"/>
  <c r="AN2" i="2" s="1"/>
  <c r="AA3" i="2"/>
  <c r="AA4" i="2"/>
  <c r="AA5" i="2"/>
  <c r="AA6" i="2"/>
  <c r="AA7" i="2"/>
  <c r="AA8" i="2"/>
  <c r="AA9" i="2"/>
  <c r="AA10" i="2"/>
  <c r="AA11" i="2"/>
  <c r="AA12" i="2"/>
  <c r="AA2" i="2"/>
  <c r="Y2" i="2"/>
  <c r="W2" i="2"/>
  <c r="Y3" i="2"/>
  <c r="Y4" i="2"/>
  <c r="Y5" i="2"/>
  <c r="Y6" i="2"/>
  <c r="Y7" i="2"/>
  <c r="Y8" i="2"/>
  <c r="Y9" i="2"/>
  <c r="Y10" i="2"/>
  <c r="Y11" i="2"/>
  <c r="Y12" i="2"/>
  <c r="W3" i="2"/>
  <c r="W4" i="2"/>
  <c r="W5" i="2"/>
  <c r="W6" i="2"/>
  <c r="W7" i="2"/>
  <c r="W8" i="2"/>
  <c r="W9" i="2"/>
  <c r="W10" i="2"/>
  <c r="W11" i="2"/>
  <c r="W12" i="2"/>
  <c r="R2" i="2"/>
  <c r="O2" i="2" a="1"/>
  <c r="O2" i="2" s="1"/>
  <c r="T2" i="2"/>
  <c r="T5" i="2"/>
  <c r="T3" i="2"/>
  <c r="T4" i="2"/>
  <c r="T6" i="2"/>
  <c r="T7" i="2"/>
  <c r="T8" i="2"/>
  <c r="T9" i="2"/>
  <c r="T10" i="2"/>
  <c r="T11" i="2"/>
  <c r="T12" i="2"/>
  <c r="R3" i="2"/>
  <c r="R4" i="2"/>
  <c r="R5" i="2"/>
  <c r="R6" i="2"/>
  <c r="R7" i="2"/>
  <c r="R8" i="2"/>
  <c r="R9" i="2"/>
  <c r="R10" i="2"/>
  <c r="R11" i="2"/>
  <c r="R12" i="2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2" i="2" a="1"/>
  <c r="M2" i="2" s="1"/>
  <c r="K3" i="2" a="1"/>
  <c r="K3" i="2" s="1"/>
  <c r="K4" i="2" a="1"/>
  <c r="K4" i="2" s="1"/>
  <c r="AC4" i="2" s="1"/>
  <c r="K5" i="2" a="1"/>
  <c r="K5" i="2" s="1"/>
  <c r="AC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2" i="2" a="1"/>
  <c r="K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2" i="2" a="1"/>
  <c r="I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2" i="2" a="1"/>
  <c r="G2" i="2" s="1"/>
  <c r="E2" i="2" a="1"/>
  <c r="E2" i="2" s="1"/>
  <c r="E6" i="2" a="1"/>
  <c r="E6" i="2" s="1"/>
  <c r="AC6" i="2" s="1"/>
  <c r="E3" i="2" a="1"/>
  <c r="E3" i="2" s="1"/>
  <c r="AC3" i="2" s="1"/>
  <c r="E4" i="2" a="1"/>
  <c r="E4" i="2" s="1"/>
  <c r="E5" i="2" a="1"/>
  <c r="E5" i="2" s="1"/>
  <c r="E7" i="2" a="1"/>
  <c r="E7" i="2" s="1"/>
  <c r="E8" i="2" a="1"/>
  <c r="E8" i="2" s="1"/>
  <c r="AC8" i="2" s="1"/>
  <c r="E9" i="2" a="1"/>
  <c r="E9" i="2" s="1"/>
  <c r="E10" i="2" a="1"/>
  <c r="E10" i="2" s="1"/>
  <c r="E11" i="2" a="1"/>
  <c r="E11" i="2" s="1"/>
  <c r="E12" i="2" a="1"/>
  <c r="E12" i="2" s="1"/>
  <c r="AC12" i="2" l="1"/>
  <c r="AC11" i="2"/>
  <c r="AC9" i="2"/>
  <c r="AC10" i="2"/>
  <c r="AC7" i="2"/>
  <c r="AE2" i="2"/>
  <c r="AC2" i="2"/>
  <c r="AO5" i="2"/>
  <c r="AO6" i="2"/>
  <c r="AO11" i="2"/>
  <c r="AO10" i="2"/>
  <c r="AO9" i="2"/>
  <c r="AO7" i="2"/>
  <c r="AJ12" i="2" l="1"/>
  <c r="AL12" i="2"/>
  <c r="AD12" i="2"/>
  <c r="AE12" i="2"/>
  <c r="AF12" i="2"/>
  <c r="AG12" i="2"/>
  <c r="AK12" i="2"/>
  <c r="AI12" i="2"/>
  <c r="AO12" i="2"/>
  <c r="AH12" i="2"/>
  <c r="AI11" i="2"/>
  <c r="AJ11" i="2"/>
  <c r="AL11" i="2"/>
  <c r="AD11" i="2"/>
  <c r="AE11" i="2"/>
  <c r="AK11" i="2"/>
  <c r="AH11" i="2"/>
  <c r="AF11" i="2"/>
  <c r="AG11" i="2"/>
  <c r="AH9" i="2"/>
  <c r="AI9" i="2"/>
  <c r="AF9" i="2"/>
  <c r="AJ9" i="2"/>
  <c r="AE9" i="2"/>
  <c r="AL9" i="2"/>
  <c r="AD9" i="2"/>
  <c r="AK9" i="2"/>
  <c r="AM9" i="2" s="1"/>
  <c r="AG9" i="2"/>
  <c r="AG10" i="2"/>
  <c r="AI10" i="2"/>
  <c r="AD10" i="2"/>
  <c r="AM10" i="2" s="1"/>
  <c r="AL10" i="2"/>
  <c r="AF10" i="2"/>
  <c r="AH10" i="2"/>
  <c r="AE10" i="2"/>
  <c r="AJ10" i="2"/>
  <c r="AF7" i="2"/>
  <c r="AL7" i="2"/>
  <c r="AG7" i="2"/>
  <c r="AD7" i="2"/>
  <c r="AH7" i="2"/>
  <c r="AJ7" i="2"/>
  <c r="AI7" i="2"/>
  <c r="AE7" i="2"/>
  <c r="AO2" i="2"/>
  <c r="AF2" i="2"/>
  <c r="AJ2" i="2"/>
  <c r="AI2" i="2"/>
  <c r="AH2" i="2"/>
  <c r="AG2" i="2"/>
  <c r="AL2" i="2"/>
  <c r="AD2" i="2"/>
  <c r="AO3" i="2"/>
  <c r="AO8" i="2"/>
  <c r="AO4" i="2"/>
  <c r="AM12" i="2" l="1"/>
  <c r="AN12" i="2" s="1"/>
  <c r="AM11" i="2"/>
  <c r="AM7" i="2"/>
  <c r="AN7" i="2" s="1"/>
  <c r="AN5" i="2"/>
  <c r="AN8" i="2"/>
  <c r="AN6" i="2"/>
  <c r="AN4" i="2"/>
  <c r="AN10" i="2"/>
  <c r="AN11" i="2"/>
  <c r="AN3" i="2"/>
  <c r="AN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<sst xmlns="http://schemas.openxmlformats.org/spreadsheetml/2006/main" count="64" uniqueCount="64">
  <si>
    <t>TE
#Other</t>
  </si>
  <si>
    <t>TE#</t>
  </si>
  <si>
    <t>Date of tax fiing</t>
  </si>
  <si>
    <t>Name of employee</t>
  </si>
  <si>
    <t>PTIN</t>
  </si>
  <si>
    <t>The company listed on the Lao stock exchange</t>
  </si>
  <si>
    <t>Deposit in the banking system</t>
  </si>
  <si>
    <t>PIT TE</t>
  </si>
  <si>
    <t>TE
#21</t>
  </si>
  <si>
    <t>TE
#22</t>
  </si>
  <si>
    <t>TE
#23</t>
  </si>
  <si>
    <t>TE
#24</t>
  </si>
  <si>
    <t>TE
#25</t>
  </si>
  <si>
    <t>TE
#26</t>
  </si>
  <si>
    <t>TE
#27</t>
  </si>
  <si>
    <t>TE
#28</t>
  </si>
  <si>
    <t>TE
#29</t>
  </si>
  <si>
    <t>A</t>
  </si>
  <si>
    <t>12345678</t>
  </si>
  <si>
    <t>B</t>
  </si>
  <si>
    <t>12345679</t>
  </si>
  <si>
    <t>C</t>
  </si>
  <si>
    <t>12345680</t>
  </si>
  <si>
    <t>D</t>
  </si>
  <si>
    <t>12345681</t>
  </si>
  <si>
    <t>E</t>
  </si>
  <si>
    <t>12345682</t>
  </si>
  <si>
    <t>F</t>
  </si>
  <si>
    <t>12345683</t>
  </si>
  <si>
    <t>G</t>
  </si>
  <si>
    <t>12345684</t>
  </si>
  <si>
    <t>H</t>
  </si>
  <si>
    <t>12345685</t>
  </si>
  <si>
    <t>I</t>
  </si>
  <si>
    <t>12345686</t>
  </si>
  <si>
    <t>j</t>
  </si>
  <si>
    <t>12345687</t>
  </si>
  <si>
    <t>k</t>
  </si>
  <si>
    <t>12345688</t>
  </si>
  <si>
    <t>PIT TE_Total</t>
  </si>
  <si>
    <t>Amount of additional working hours or overtime payments (21)</t>
  </si>
  <si>
    <t>TE_(21)</t>
  </si>
  <si>
    <t>Uniforms and equipment for preventing labour accidents (22)</t>
  </si>
  <si>
    <t>TE_(22)</t>
  </si>
  <si>
    <t>Amount of allowance for children aged below 18 (23.2)</t>
  </si>
  <si>
    <t>Amount of personal allowance for spouse (23,1)</t>
  </si>
  <si>
    <t>TE_(23,1)</t>
  </si>
  <si>
    <t>TE (23.2)</t>
  </si>
  <si>
    <t>Allowance for government personnel, allowance for national assembly member and provincial people’s assembly (24)</t>
  </si>
  <si>
    <t>TE (24)</t>
  </si>
  <si>
    <t>Allowance for students (25)</t>
  </si>
  <si>
    <t>TE (25)</t>
  </si>
  <si>
    <t>TE (26)</t>
  </si>
  <si>
    <t>TE (27)</t>
  </si>
  <si>
    <t>Profits from sale of shares (26)</t>
  </si>
  <si>
    <t>Income from dvidends distributed to partners or shareholders (27)</t>
  </si>
  <si>
    <t>Income from interest on deposits  (28.1)</t>
  </si>
  <si>
    <t>TE (28.1)</t>
  </si>
  <si>
    <t>Income from bonds (28.2)</t>
  </si>
  <si>
    <t>TE (28.2)</t>
  </si>
  <si>
    <t>Bonus or gift paid by government to a person with outstanding performance in monitoring, searching, protecting, prevention or blockage of illegal acts (29)</t>
  </si>
  <si>
    <t>TE (29)</t>
  </si>
  <si>
    <t>Employee social security contributions (30)</t>
  </si>
  <si>
    <t>can't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</si>
</sst>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/d/yyyy"/>
  </numFmts>
  <fonts count="13" x14ac:knownFonts="1">
    <font>
      <sz val="12"/>
      <color theme="1"/>
      <name val="Calibri"/>
      <scheme val="minor"/>
    </font>
    <font>
      <b/>
      <sz val="8"/>
      <color theme="1"/>
      <name val="Arial"/>
    </font>
    <font>
      <b/>
      <sz val="10"/>
      <color theme="1"/>
      <name val="Times New Roman"/>
    </font>
    <font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8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color rgb="FFFF0000"/>
      <name val="Arial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3" fontId="5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43" fontId="3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43" fontId="5" fillId="3" borderId="5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4" fontId="10" fillId="7" borderId="5" xfId="0" applyNumberFormat="1" applyFont="1" applyFill="1" applyBorder="1" applyAlignment="1">
      <alignment horizontal="center" vertical="center"/>
    </xf>
    <xf numFmtId="4" fontId="3" fillId="7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O978"/>
  <sheetViews>
    <sheetView tabSelected="1" zoomScale="136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N13" sqref="N13"/>
    </sheetView>
  </sheetViews>
  <sheetFormatPr baseColWidth="10" defaultColWidth="11.1640625" defaultRowHeight="15" customHeight="1" x14ac:dyDescent="0.2"/>
  <cols>
    <col min="1" max="1" width="11.83203125" style="22" customWidth="1"/>
    <col min="2" max="2" width="8.5" style="22" customWidth="1"/>
    <col min="3" max="3" width="8.6640625" style="22" customWidth="1"/>
    <col min="4" max="7" width="10.5" style="22" customWidth="1"/>
    <col min="8" max="8" width="11.83203125" style="22" customWidth="1"/>
    <col min="9" max="11" width="10.5" style="22" customWidth="1"/>
    <col min="12" max="12" width="15.33203125" style="22" customWidth="1"/>
    <col min="13" max="13" width="9.83203125" style="22" customWidth="1"/>
    <col min="14" max="25" width="10.5" style="22" customWidth="1"/>
    <col min="26" max="27" width="14.5" style="22" customWidth="1"/>
    <col min="28" max="29" width="10.5" style="22" customWidth="1"/>
    <col min="30" max="39" width="7.83203125" style="22" customWidth="1"/>
    <col min="40" max="40" width="11.83203125" style="22" customWidth="1"/>
    <col min="41" max="41" width="14.6640625" style="22" customWidth="1"/>
    <col min="42" max="16384" width="11.1640625" style="22"/>
  </cols>
  <sheetData>
    <row r="1" spans="1:41" ht="120" x14ac:dyDescent="0.2">
      <c r="A1" s="1" t="s">
        <v>2</v>
      </c>
      <c r="B1" s="2" t="s">
        <v>3</v>
      </c>
      <c r="C1" s="3" t="s">
        <v>4</v>
      </c>
      <c r="D1" s="21" t="s">
        <v>40</v>
      </c>
      <c r="E1" s="21" t="s">
        <v>41</v>
      </c>
      <c r="F1" s="20" t="s">
        <v>42</v>
      </c>
      <c r="G1" s="21" t="s">
        <v>43</v>
      </c>
      <c r="H1" s="20" t="s">
        <v>45</v>
      </c>
      <c r="I1" s="21" t="s">
        <v>46</v>
      </c>
      <c r="J1" s="20" t="s">
        <v>44</v>
      </c>
      <c r="K1" s="20" t="s">
        <v>47</v>
      </c>
      <c r="L1" s="21" t="s">
        <v>48</v>
      </c>
      <c r="M1" s="21" t="s">
        <v>49</v>
      </c>
      <c r="N1" s="20" t="s">
        <v>50</v>
      </c>
      <c r="O1" s="20" t="s">
        <v>51</v>
      </c>
      <c r="P1" s="20" t="s">
        <v>54</v>
      </c>
      <c r="Q1" s="4" t="s">
        <v>5</v>
      </c>
      <c r="R1" s="20" t="s">
        <v>52</v>
      </c>
      <c r="S1" s="20" t="s">
        <v>55</v>
      </c>
      <c r="T1" s="20" t="s">
        <v>53</v>
      </c>
      <c r="U1" s="20" t="s">
        <v>56</v>
      </c>
      <c r="V1" s="4" t="s">
        <v>6</v>
      </c>
      <c r="W1" s="20" t="s">
        <v>57</v>
      </c>
      <c r="X1" s="20" t="s">
        <v>58</v>
      </c>
      <c r="Y1" s="20" t="s">
        <v>59</v>
      </c>
      <c r="Z1" s="20" t="s">
        <v>60</v>
      </c>
      <c r="AA1" s="20" t="s">
        <v>61</v>
      </c>
      <c r="AB1" s="26" t="s">
        <v>62</v>
      </c>
      <c r="AC1" s="20" t="s">
        <v>39</v>
      </c>
      <c r="AD1" s="4" t="s">
        <v>8</v>
      </c>
      <c r="AE1" s="4" t="s">
        <v>9</v>
      </c>
      <c r="AF1" s="4" t="s">
        <v>10</v>
      </c>
      <c r="AG1" s="4" t="s">
        <v>11</v>
      </c>
      <c r="AH1" s="4" t="s">
        <v>12</v>
      </c>
      <c r="AI1" s="4" t="s">
        <v>13</v>
      </c>
      <c r="AJ1" s="4" t="s">
        <v>14</v>
      </c>
      <c r="AK1" s="4" t="s">
        <v>15</v>
      </c>
      <c r="AL1" s="4" t="s">
        <v>16</v>
      </c>
      <c r="AM1" s="4" t="s">
        <v>0</v>
      </c>
      <c r="AN1" s="5" t="s">
        <v>1</v>
      </c>
      <c r="AO1" s="6" t="s">
        <v>7</v>
      </c>
    </row>
    <row r="2" spans="1:41" ht="20" customHeight="1" x14ac:dyDescent="0.2">
      <c r="A2" s="12">
        <v>43466</v>
      </c>
      <c r="B2" s="13" t="s">
        <v>17</v>
      </c>
      <c r="C2" s="13" t="s">
        <v>18</v>
      </c>
      <c r="D2" s="14">
        <v>20000000</v>
      </c>
      <c r="E2" s="14" cm="1">
        <f t="array" ref="E2">IF(AND(A2&gt;=DATE(2018,1,1),A2&lt;=DATE(2019,12,31)),
   _xlfn.IFS(
      D2&lt;=1000000,0,
      D2&lt;=3000000,0.05*D2,
      D2&lt;=6000000,0.1*D2,
      D2&lt;=12000000,0.12*D2,
      D2&lt;=24000000,0.15*D2,
      D2&lt;=40000000,0.2*D2,
      D2&gt;40000000,0.24*D2
   ),
   IF(AND(A2&gt;=DATE(2020,1,1),A2&lt;=DATE(2023,12,31)),
      _xlfn.IFS(
         D2&lt;=1300000,0,
         D2&lt;=5000000,0.05*D2,
         D2&lt;=15000000,0.1*D2,
         D2&lt;=25000000,0.15*D2,
         D2&lt;=65000000,0.2*D2,
         D2&gt;65000000,0.25*D2
      ),
      "Out of range"
   )
)</f>
        <v>3000000</v>
      </c>
      <c r="F2" s="14"/>
      <c r="G2" s="14" cm="1">
        <f t="array" ref="G2">IF(AND(A2&gt;=DATE(2018,1,1),A2&lt;=DATE(2019,12,31)),
   _xlfn.IFS(
      F2&lt;=1000000,0,
      F2&lt;=3000000,0.05*F2,
      F2&lt;=6000000,0.1*F2,
      F2&lt;=12000000,0.12*F2,
      F2&lt;=24000000,0.15*F2,
      F2&lt;=40000000,0.2*F2,
      F2&gt;40000000,0.24*F2
   ),
   IF(AND(A2&gt;=DATE(2020,1,1),A2&lt;=DATE(2023,12,31)),
      _xlfn.IFS(
         F2&lt;=1300000,0,
         F2&lt;=5000000,0.05*F2,
         F2&lt;=15000000,0.1*F2,
         F2&lt;=25000000,0.15*F2,
         F2&lt;=65000000,0.2*F2,
         F2&gt;65000000,0.25*F2
      ),
      "Out of range"
   )
)</f>
        <v>0</v>
      </c>
      <c r="H2" s="14"/>
      <c r="I2" s="14" cm="1">
        <f t="array" ref="I2">IF(AND(A2&gt;=DATE(2018,1,1),A2&lt;=DATE(2019,12,31)),
   _xlfn.IFS(
      H2&lt;=1000000,0,
      H2&lt;=3000000,0.05*H2,
      H2&lt;=6000000,0.1*H2,
      H2&lt;=12000000,0.12*H2,
      H2&lt;=24000000,0.15*H2,
      H2&lt;=40000000,0.2*H2,
      H2&gt;40000000,0.24*H2
   ),
   IF(AND(A2&gt;=DATE(2020,1,1),A2&lt;=DATE(2023,12,31)),
      _xlfn.IFS(
         H2&lt;=1300000,0,
         H2&lt;=5000000,0.05*H2,
         H2&lt;=15000000,0.1*H2,
         H2&lt;=25000000,0.15*H2,
         H2&lt;=65000000,0.2*H2,
         H2&gt;65000000,0.25*H2
      ),
      "Out of range"
   )
)</f>
        <v>0</v>
      </c>
      <c r="J2" s="14"/>
      <c r="K2" s="14" cm="1">
        <f t="array" ref="K2">IF(AND(A2&gt;=DATE(2018,1,1),A2&lt;=DATE(2019,12,31)),
   _xlfn.IFS(
      J2&lt;=1000000,0,
      J2&lt;=3000000,0.05*J2,
      J2&lt;=6000000,0.1*J2,
      J2&lt;=12000000,0.12*J2,
      J2&lt;=24000000,0.15*J2,
      J2&lt;=40000000,0.2*J2,
      J2&gt;40000000,0.24*J2
   ),
   IF(AND(A2&gt;=DATE(2020,1,1),A2&lt;=DATE(2023,12,31)),
      _xlfn.IFS(
         J2&lt;=1300000,0,
         J2&lt;=5000000,0.05*J2,
         J2&lt;=15000000,0.1*J2,
         J2&lt;=25000000,0.15*J2,
         J2&lt;=65000000,0.2*J2,
         J2&gt;65000000,0.25*J2
      ),
      "Out of range"
   )
)</f>
        <v>0</v>
      </c>
      <c r="L2" s="14"/>
      <c r="M2" s="14" cm="1">
        <f t="array" ref="M2">IF(AND(A2&gt;=DATE(2018,1,1),A2&lt;=DATE(2019,12,31)),
   _xlfn.IFS(
      L2&lt;=1000000,0,
      L2&lt;=3000000,0.05*L2,
      L2&lt;=6000000,0.1*L2,
      L2&lt;=12000000,0.12*L2,
      L2&lt;=24000000,0.15*L2,
      L2&lt;=40000000,0.2*L2,
      L2&gt;40000000,0.24*L2
   ),
   IF(AND(A2&gt;=DATE(2020,1,1),A2&lt;=DATE(2023,12,31)),
      _xlfn.IFS(
         L2&lt;=1300000,0,
         L2&lt;=5000000,0.05*L2,
         L2&lt;=15000000,0.1*L2,
         L2&lt;=25000000,0.15*L2,
         L2&lt;=65000000,0.2*L2,
         L2&gt;65000000,0.25*L2
      ),
      "Out of range"
   )
)</f>
        <v>0</v>
      </c>
      <c r="N2" s="14"/>
      <c r="O2" s="14" cm="1">
        <f t="array" ref="O2">IF(AND(A2&gt;=DATE(2018,1,1),A2&lt;=DATE(2019,12,31)),
   _xlfn.IFS(
      N2&lt;=1000000,0,
      N2&lt;=3000000,0.05*N2,
      N2&lt;=6000000,0.1*N2,
      N2&lt;=12000000,0.12*N2,
      N2&lt;=24000000,0.15*N2,
      N2&lt;=40000000,0.2*N2,
      N2&gt;40000000,0.24*N2
   ),
   IF(AND(A2&gt;=DATE(2020,1,1),A2&lt;=DATE(2023,12,31)),
      _xlfn.IFS(
         N2&lt;=1300000,0,
         N2&lt;=5000000,0.05*N2,
         N2&lt;=15000000,0.1*N2,
         N2&lt;=25000000,0.15*N2,
         N2&lt;=65000000,0.2*N2,
         N2&gt;65000000,0.25*N2
      ),
      "Out of range"
   )
)</f>
        <v>0</v>
      </c>
      <c r="P2" s="14">
        <v>100000000</v>
      </c>
      <c r="Q2" s="14">
        <v>1</v>
      </c>
      <c r="R2" s="14">
        <f>IF(AND(A2&gt;=DATE(2018,1,1),A2&lt;=DATE(2019,12,31),Q2=1,P2&gt;0),0.1*P2,
 IF(AND(A2&gt;=DATE(2020,1,1),A2&lt;=DATE(2023,12,31),P2&gt;0),0.02*P2,0))</f>
        <v>10000000</v>
      </c>
      <c r="S2" s="14"/>
      <c r="T2" s="14">
        <f>IF(AND(A2&gt;=DATE(2018,1,1),A2&lt;=DATE(2019,12,31),Q2=1,S2&gt;0),0.1*S2,
 IF(AND(A2&gt;=DATE(2020,1,1),A2&lt;=DATE(2023,12,31),S2&gt;0),0.1*S2,0))</f>
        <v>0</v>
      </c>
      <c r="U2" s="14"/>
      <c r="V2" s="14"/>
      <c r="W2" s="14">
        <f>IF(AND(A2&gt;=DATE(2018,1,1),A2&lt;=DATE(2019,12,31),V2=1,U2&gt;0),0.1*U2,
 IF(AND(A2&gt;=DATE(2020,1,1),A2&lt;=DATE(2023,12,31),U2&gt;0),0.1*U2,0))</f>
        <v>0</v>
      </c>
      <c r="X2" s="14"/>
      <c r="Y2" s="14">
        <f>IF(X2&gt;0,0.1*X2,0)</f>
        <v>0</v>
      </c>
      <c r="Z2" s="14">
        <v>25000000</v>
      </c>
      <c r="AA2" s="14">
        <f>IF(Z2&gt;0,0.05*Z2,0)</f>
        <v>1250000</v>
      </c>
      <c r="AB2" s="27" t="s">
        <v>63</v>
      </c>
      <c r="AC2" s="15">
        <f>E2+G2+I2+K2+M2+O2+R2+T2+W2+Y2+AA2</f>
        <v>14250000</v>
      </c>
      <c r="AD2" s="23">
        <f>IF(AND(E2&gt;0, AC2&gt;0), 21, "")</f>
        <v>21</v>
      </c>
      <c r="AE2" s="23" t="str">
        <f>IF(AND(G2&gt;0, AC2&gt;0), 22, "")</f>
        <v/>
      </c>
      <c r="AF2" s="23" t="str">
        <f>IF(AND(AC2&gt;0, OR(I2&gt;0, K2&gt;0)), 23, "")</f>
        <v/>
      </c>
      <c r="AG2" s="23" t="str">
        <f>IF(AND(M2&gt;0, AC2&gt;0), 24, "")</f>
        <v/>
      </c>
      <c r="AH2" s="23" t="str">
        <f>IF(AND(O2&gt;0, AC2&gt;0), 25, "")</f>
        <v/>
      </c>
      <c r="AI2" s="23">
        <f>IF(AND(R2&gt;0, AC2&gt;0), 26, "")</f>
        <v>26</v>
      </c>
      <c r="AJ2" s="23" t="str">
        <f>IF(AND(T2&gt;0, AC2&gt;0), 27, "")</f>
        <v/>
      </c>
      <c r="AK2" s="23" t="str">
        <f>IF(AND(AC2&gt;0, OR(W2&gt;0, Y2&gt;0)), 28, "")</f>
        <v/>
      </c>
      <c r="AL2" s="23">
        <f>IF(AND(AA2&gt;0, AC2&gt;0), 29, "")</f>
        <v>29</v>
      </c>
      <c r="AM2" s="23" t="str">
        <f>IF(AND(AC2&gt;0, COUNT(AD2:AL2)=0), "Other", "")</f>
        <v/>
      </c>
      <c r="AN2" s="24" t="str">
        <f>IF(COUNTA(AD2:AM2)&gt;0, _xlfn.TEXTJOIN(", ", TRUE, AD2:AM2), "")</f>
        <v>21, 26, 29</v>
      </c>
      <c r="AO2" s="7">
        <f>AC2</f>
        <v>14250000</v>
      </c>
    </row>
    <row r="3" spans="1:41" ht="20" customHeight="1" x14ac:dyDescent="0.2">
      <c r="A3" s="12">
        <v>43467</v>
      </c>
      <c r="B3" s="13" t="s">
        <v>19</v>
      </c>
      <c r="C3" s="13" t="s">
        <v>20</v>
      </c>
      <c r="D3" s="14"/>
      <c r="E3" s="14" cm="1">
        <f t="array" ref="E3">IF(AND(A3&gt;=DATE(2018,1,1),A3&lt;=DATE(2019,12,31)),
   _xlfn.IFS(
      D3&lt;=1000000,0,
      D3&lt;=3000000,0.05*D3,
      D3&lt;=6000000,0.1*D3,
      D3&lt;=12000000,0.12*D3,
      D3&lt;=24000000,0.15*D3,
      D3&lt;=40000000,0.2*D3,
      D3&gt;40000000,0.24*D3
   ),
   IF(AND(A3&gt;=DATE(2020,1,1),A3&lt;=DATE(2023,12,31)),
      _xlfn.IFS(
         D3&lt;=1300000,0,
         D3&lt;=5000000,0.05*D3,
         D3&lt;=15000000,0.1*D3,
         D3&lt;=25000000,0.15*D3,
         D3&lt;=65000000,0.2*D3,
         D3&gt;65000000,0.25*D3
      ),
      "Out of range"
   )
)</f>
        <v>0</v>
      </c>
      <c r="F3" s="14"/>
      <c r="G3" s="14" cm="1">
        <f t="array" ref="G3">IF(AND(A3&gt;=DATE(2018,1,1),A3&lt;=DATE(2019,12,31)),
   _xlfn.IFS(
      F3&lt;=1000000,0,
      F3&lt;=3000000,0.05*F3,
      F3&lt;=6000000,0.1*F3,
      F3&lt;=12000000,0.12*F3,
      F3&lt;=24000000,0.15*F3,
      F3&lt;=40000000,0.2*F3,
      F3&gt;40000000,0.24*F3
   ),
   IF(AND(A3&gt;=DATE(2020,1,1),A3&lt;=DATE(2023,12,31)),
      _xlfn.IFS(
         F3&lt;=1300000,0,
         F3&lt;=5000000,0.05*F3,
         F3&lt;=15000000,0.1*F3,
         F3&lt;=25000000,0.15*F3,
         F3&lt;=65000000,0.2*F3,
         F3&gt;65000000,0.25*F3
      ),
      "Out of range"
   )
)</f>
        <v>0</v>
      </c>
      <c r="H3" s="14"/>
      <c r="I3" s="14" cm="1">
        <f t="array" ref="I3">IF(AND(A3&gt;=DATE(2018,1,1),A3&lt;=DATE(2019,12,31)),
   _xlfn.IFS(
      H3&lt;=1000000,0,
      H3&lt;=3000000,0.05*H3,
      H3&lt;=6000000,0.1*H3,
      H3&lt;=12000000,0.12*H3,
      H3&lt;=24000000,0.15*H3,
      H3&lt;=40000000,0.2*H3,
      H3&gt;40000000,0.24*H3
   ),
   IF(AND(A3&gt;=DATE(2020,1,1),A3&lt;=DATE(2023,12,31)),
      _xlfn.IFS(
         H3&lt;=1300000,0,
         H3&lt;=5000000,0.05*H3,
         H3&lt;=15000000,0.1*H3,
         H3&lt;=25000000,0.15*H3,
         H3&lt;=65000000,0.2*H3,
         H3&gt;65000000,0.25*H3
      ),
      "Out of range"
   )
)</f>
        <v>0</v>
      </c>
      <c r="J3" s="14"/>
      <c r="K3" s="14" cm="1">
        <f t="array" ref="K3">IF(AND(A3&gt;=DATE(2018,1,1),A3&lt;=DATE(2019,12,31)),
   _xlfn.IFS(
      J3&lt;=1000000,0,
      J3&lt;=3000000,0.05*J3,
      J3&lt;=6000000,0.1*J3,
      J3&lt;=12000000,0.12*J3,
      J3&lt;=24000000,0.15*J3,
      J3&lt;=40000000,0.2*J3,
      J3&gt;40000000,0.24*J3
   ),
   IF(AND(A3&gt;=DATE(2020,1,1),A3&lt;=DATE(2023,12,31)),
      _xlfn.IFS(
         J3&lt;=1300000,0,
         J3&lt;=5000000,0.05*J3,
         J3&lt;=15000000,0.1*J3,
         J3&lt;=25000000,0.15*J3,
         J3&lt;=65000000,0.2*J3,
         J3&gt;65000000,0.25*J3
      ),
      "Out of range"
   )
)</f>
        <v>0</v>
      </c>
      <c r="L3" s="14"/>
      <c r="M3" s="14" cm="1">
        <f t="array" ref="M3">IF(AND(A3&gt;=DATE(2018,1,1),A3&lt;=DATE(2019,12,31)),
   _xlfn.IFS(
      L3&lt;=1000000,0,
      L3&lt;=3000000,0.05*L3,
      L3&lt;=6000000,0.1*L3,
      L3&lt;=12000000,0.12*L3,
      L3&lt;=24000000,0.15*L3,
      L3&lt;=40000000,0.2*L3,
      L3&gt;40000000,0.24*L3
   ),
   IF(AND(A3&gt;=DATE(2020,1,1),A3&lt;=DATE(2023,12,31)),
      _xlfn.IFS(
         L3&lt;=1300000,0,
         L3&lt;=5000000,0.05*L3,
         L3&lt;=15000000,0.1*L3,
         L3&lt;=25000000,0.15*L3,
         L3&lt;=65000000,0.2*L3,
         L3&gt;65000000,0.25*L3
      ),
      "Out of range"
   )
)</f>
        <v>0</v>
      </c>
      <c r="N3" s="14"/>
      <c r="O3" s="14" cm="1">
        <f t="array" ref="O3">IF(AND(A3&gt;=DATE(2018,1,1),A3&lt;=DATE(2019,12,31)),
   _xlfn.IFS(
      N3&lt;=1000000,0,
      N3&lt;=3000000,0.05*N3,
      N3&lt;=6000000,0.1*N3,
      N3&lt;=12000000,0.12*N3,
      N3&lt;=24000000,0.15*N3,
      N3&lt;=40000000,0.2*N3,
      N3&gt;40000000,0.24*N3
   ),
   IF(AND(A3&gt;=DATE(2020,1,1),A3&lt;=DATE(2023,12,31)),
      _xlfn.IFS(
         N3&lt;=1300000,0,
         N3&lt;=5000000,0.05*N3,
         N3&lt;=15000000,0.1*N3,
         N3&lt;=25000000,0.15*N3,
         N3&lt;=65000000,0.2*N3,
         N3&gt;65000000,0.25*N3
      ),
      "Out of range"
   )
)</f>
        <v>0</v>
      </c>
      <c r="P3" s="14"/>
      <c r="Q3" s="14"/>
      <c r="R3" s="14">
        <f t="shared" ref="R3:R12" si="0">IF(AND(A3&gt;=DATE(2018,1,1),A3&lt;=DATE(2019,12,31),Q3=1,P3&gt;0),0.1*P3,
 IF(AND(A3&gt;=DATE(2020,1,1),A3&lt;=DATE(2023,12,31),P3&gt;0),0.02*P3,0))</f>
        <v>0</v>
      </c>
      <c r="S3" s="14"/>
      <c r="T3" s="14">
        <f t="shared" ref="T3:T12" si="1">IF(AND(A3&gt;=DATE(2018,1,1),A3&lt;=DATE(2019,12,31),Q3=1,S3&gt;0),0.1*S3,
 IF(AND(A3&gt;=DATE(2020,1,1),A3&lt;=DATE(2023,12,31),S3&gt;0),0.1*S3,0))</f>
        <v>0</v>
      </c>
      <c r="U3" s="14"/>
      <c r="V3" s="14"/>
      <c r="W3" s="14">
        <f t="shared" ref="W3:W12" si="2">IF(AND(A3&gt;=DATE(2018,1,1),A3&lt;=DATE(2019,12,31),V3=1,U3&gt;0),0.1*U3,
 IF(AND(A3&gt;=DATE(2020,1,1),A3&lt;=DATE(2023,12,31),U3&gt;0),0.1*U3,0))</f>
        <v>0</v>
      </c>
      <c r="X3" s="14"/>
      <c r="Y3" s="14">
        <f t="shared" ref="Y3:Y12" si="3">IF(X3&gt;0,0.1*X3,0)</f>
        <v>0</v>
      </c>
      <c r="Z3" s="14"/>
      <c r="AA3" s="14">
        <f t="shared" ref="AA3:AA12" si="4">IF(Z3&gt;0,0.05*Z3,0)</f>
        <v>0</v>
      </c>
      <c r="AB3" s="28"/>
      <c r="AC3" s="15">
        <f t="shared" ref="AC3:AC12" si="5">E3+G3+I3+K3+M3+O3+R3+T3+W3+Y3+AA3</f>
        <v>0</v>
      </c>
      <c r="AD3" s="23" t="str">
        <f t="shared" ref="AD3:AD12" si="6">IF(AND(E3&gt;0, AC3&gt;0), 21, "")</f>
        <v/>
      </c>
      <c r="AE3" s="23" t="str">
        <f t="shared" ref="AE3:AE12" si="7">IF(AND(G3&gt;0, AC3&gt;0), 22, "")</f>
        <v/>
      </c>
      <c r="AF3" s="23" t="str">
        <f t="shared" ref="AF3:AF12" si="8">IF(AND(AC3&gt;0, OR(I3&gt;0, K3&gt;0)), 23, "")</f>
        <v/>
      </c>
      <c r="AG3" s="23" t="str">
        <f t="shared" ref="AG3:AG12" si="9">IF(AND(M3&gt;0, AC3&gt;0), 24, "")</f>
        <v/>
      </c>
      <c r="AH3" s="23" t="str">
        <f t="shared" ref="AH3:AH12" si="10">IF(AND(O3&gt;0, AC3&gt;0), 25, "")</f>
        <v/>
      </c>
      <c r="AI3" s="23" t="str">
        <f t="shared" ref="AI3:AI12" si="11">IF(AND(R3&gt;0, AC3&gt;0), 26, "")</f>
        <v/>
      </c>
      <c r="AJ3" s="23" t="str">
        <f t="shared" ref="AJ3:AJ12" si="12">IF(AND(T3&gt;0, AC3&gt;0), 27, "")</f>
        <v/>
      </c>
      <c r="AK3" s="23" t="str">
        <f t="shared" ref="AK3:AK12" si="13">IF(AND(AC3&gt;0, OR(W3&gt;0, Y3&gt;0)), 28, "")</f>
        <v/>
      </c>
      <c r="AL3" s="23" t="str">
        <f t="shared" ref="AL3:AL12" si="14">IF(AND(AA3&gt;0, AC3&gt;0), 29, "")</f>
        <v/>
      </c>
      <c r="AM3" s="23" t="str">
        <f t="shared" ref="AM3:AM12" si="15">IF(AND(AC3&gt;0, COUNT(AD3:AL3)=0), "Other", "")</f>
        <v/>
      </c>
      <c r="AN3" s="24" t="str">
        <f>IF(COUNTA(AD3:AM3)&gt;0, _xlfn.TEXTJOIN(", ", TRUE, AD3:AM3), "")</f>
        <v/>
      </c>
      <c r="AO3" s="7">
        <f>AC3</f>
        <v>0</v>
      </c>
    </row>
    <row r="4" spans="1:41" ht="20" customHeight="1" x14ac:dyDescent="0.2">
      <c r="A4" s="12">
        <v>43833</v>
      </c>
      <c r="B4" s="13" t="s">
        <v>21</v>
      </c>
      <c r="C4" s="13" t="s">
        <v>22</v>
      </c>
      <c r="D4" s="16"/>
      <c r="E4" s="14" cm="1">
        <f t="array" ref="E4">IF(AND(A4&gt;=DATE(2018,1,1),A4&lt;=DATE(2019,12,31)),
   _xlfn.IFS(
      D4&lt;=1000000,0,
      D4&lt;=3000000,0.05*D4,
      D4&lt;=6000000,0.1*D4,
      D4&lt;=12000000,0.12*D4,
      D4&lt;=24000000,0.15*D4,
      D4&lt;=40000000,0.2*D4,
      D4&gt;40000000,0.24*D4
   ),
   IF(AND(A4&gt;=DATE(2020,1,1),A4&lt;=DATE(2023,12,31)),
      _xlfn.IFS(
         D4&lt;=1300000,0,
         D4&lt;=5000000,0.05*D4,
         D4&lt;=15000000,0.1*D4,
         D4&lt;=25000000,0.15*D4,
         D4&lt;=65000000,0.2*D4,
         D4&gt;65000000,0.25*D4
      ),
      "Out of range"
   )
)</f>
        <v>0</v>
      </c>
      <c r="F4" s="14"/>
      <c r="G4" s="14" cm="1">
        <f t="array" ref="G4">IF(AND(A4&gt;=DATE(2018,1,1),A4&lt;=DATE(2019,12,31)),
   _xlfn.IFS(
      F4&lt;=1000000,0,
      F4&lt;=3000000,0.05*F4,
      F4&lt;=6000000,0.1*F4,
      F4&lt;=12000000,0.12*F4,
      F4&lt;=24000000,0.15*F4,
      F4&lt;=40000000,0.2*F4,
      F4&gt;40000000,0.24*F4
   ),
   IF(AND(A4&gt;=DATE(2020,1,1),A4&lt;=DATE(2023,12,31)),
      _xlfn.IFS(
         F4&lt;=1300000,0,
         F4&lt;=5000000,0.05*F4,
         F4&lt;=15000000,0.1*F4,
         F4&lt;=25000000,0.15*F4,
         F4&lt;=65000000,0.2*F4,
         F4&gt;65000000,0.25*F4
      ),
      "Out of range"
   )
)</f>
        <v>0</v>
      </c>
      <c r="H4" s="14"/>
      <c r="I4" s="14" cm="1">
        <f t="array" ref="I4">IF(AND(A4&gt;=DATE(2018,1,1),A4&lt;=DATE(2019,12,31)),
   _xlfn.IFS(
      H4&lt;=1000000,0,
      H4&lt;=3000000,0.05*H4,
      H4&lt;=6000000,0.1*H4,
      H4&lt;=12000000,0.12*H4,
      H4&lt;=24000000,0.15*H4,
      H4&lt;=40000000,0.2*H4,
      H4&gt;40000000,0.24*H4
   ),
   IF(AND(A4&gt;=DATE(2020,1,1),A4&lt;=DATE(2023,12,31)),
      _xlfn.IFS(
         H4&lt;=1300000,0,
         H4&lt;=5000000,0.05*H4,
         H4&lt;=15000000,0.1*H4,
         H4&lt;=25000000,0.15*H4,
         H4&lt;=65000000,0.2*H4,
         H4&gt;65000000,0.25*H4
      ),
      "Out of range"
   )
)</f>
        <v>0</v>
      </c>
      <c r="J4" s="14"/>
      <c r="K4" s="14" cm="1">
        <f t="array" ref="K4">IF(AND(A4&gt;=DATE(2018,1,1),A4&lt;=DATE(2019,12,31)),
   _xlfn.IFS(
      J4&lt;=1000000,0,
      J4&lt;=3000000,0.05*J4,
      J4&lt;=6000000,0.1*J4,
      J4&lt;=12000000,0.12*J4,
      J4&lt;=24000000,0.15*J4,
      J4&lt;=40000000,0.2*J4,
      J4&gt;40000000,0.24*J4
   ),
   IF(AND(A4&gt;=DATE(2020,1,1),A4&lt;=DATE(2023,12,31)),
      _xlfn.IFS(
         J4&lt;=1300000,0,
         J4&lt;=5000000,0.05*J4,
         J4&lt;=15000000,0.1*J4,
         J4&lt;=25000000,0.15*J4,
         J4&lt;=65000000,0.2*J4,
         J4&gt;65000000,0.25*J4
      ),
      "Out of range"
   )
)</f>
        <v>0</v>
      </c>
      <c r="L4" s="14"/>
      <c r="M4" s="14" cm="1">
        <f t="array" ref="M4">IF(AND(A4&gt;=DATE(2018,1,1),A4&lt;=DATE(2019,12,31)),
   _xlfn.IFS(
      L4&lt;=1000000,0,
      L4&lt;=3000000,0.05*L4,
      L4&lt;=6000000,0.1*L4,
      L4&lt;=12000000,0.12*L4,
      L4&lt;=24000000,0.15*L4,
      L4&lt;=40000000,0.2*L4,
      L4&gt;40000000,0.24*L4
   ),
   IF(AND(A4&gt;=DATE(2020,1,1),A4&lt;=DATE(2023,12,31)),
      _xlfn.IFS(
         L4&lt;=1300000,0,
         L4&lt;=5000000,0.05*L4,
         L4&lt;=15000000,0.1*L4,
         L4&lt;=25000000,0.15*L4,
         L4&lt;=65000000,0.2*L4,
         L4&gt;65000000,0.25*L4
      ),
      "Out of range"
   )
)</f>
        <v>0</v>
      </c>
      <c r="N4" s="14"/>
      <c r="O4" s="14" cm="1">
        <f t="array" ref="O4">IF(AND(A4&gt;=DATE(2018,1,1),A4&lt;=DATE(2019,12,31)),
   _xlfn.IFS(
      N4&lt;=1000000,0,
      N4&lt;=3000000,0.05*N4,
      N4&lt;=6000000,0.1*N4,
      N4&lt;=12000000,0.12*N4,
      N4&lt;=24000000,0.15*N4,
      N4&lt;=40000000,0.2*N4,
      N4&gt;40000000,0.24*N4
   ),
   IF(AND(A4&gt;=DATE(2020,1,1),A4&lt;=DATE(2023,12,31)),
      _xlfn.IFS(
         N4&lt;=1300000,0,
         N4&lt;=5000000,0.05*N4,
         N4&lt;=15000000,0.1*N4,
         N4&lt;=25000000,0.15*N4,
         N4&lt;=65000000,0.2*N4,
         N4&gt;65000000,0.25*N4
      ),
      "Out of range"
   )
)</f>
        <v>0</v>
      </c>
      <c r="P4" s="14"/>
      <c r="Q4" s="14"/>
      <c r="R4" s="14">
        <f t="shared" si="0"/>
        <v>0</v>
      </c>
      <c r="S4" s="14">
        <v>30000000</v>
      </c>
      <c r="T4" s="14">
        <f t="shared" si="1"/>
        <v>3000000</v>
      </c>
      <c r="U4" s="14"/>
      <c r="V4" s="14"/>
      <c r="W4" s="14">
        <f t="shared" si="2"/>
        <v>0</v>
      </c>
      <c r="X4" s="14"/>
      <c r="Y4" s="14">
        <f t="shared" si="3"/>
        <v>0</v>
      </c>
      <c r="Z4" s="14"/>
      <c r="AA4" s="14">
        <f t="shared" si="4"/>
        <v>0</v>
      </c>
      <c r="AB4" s="28"/>
      <c r="AC4" s="15">
        <f t="shared" si="5"/>
        <v>3000000</v>
      </c>
      <c r="AD4" s="23" t="str">
        <f t="shared" si="6"/>
        <v/>
      </c>
      <c r="AE4" s="23" t="str">
        <f t="shared" si="7"/>
        <v/>
      </c>
      <c r="AF4" s="23" t="str">
        <f t="shared" si="8"/>
        <v/>
      </c>
      <c r="AG4" s="23" t="str">
        <f t="shared" si="9"/>
        <v/>
      </c>
      <c r="AH4" s="23" t="str">
        <f t="shared" si="10"/>
        <v/>
      </c>
      <c r="AI4" s="23" t="str">
        <f t="shared" si="11"/>
        <v/>
      </c>
      <c r="AJ4" s="23">
        <f t="shared" si="12"/>
        <v>27</v>
      </c>
      <c r="AK4" s="23" t="str">
        <f t="shared" si="13"/>
        <v/>
      </c>
      <c r="AL4" s="23" t="str">
        <f t="shared" si="14"/>
        <v/>
      </c>
      <c r="AM4" s="23" t="str">
        <f t="shared" si="15"/>
        <v/>
      </c>
      <c r="AN4" s="24" t="str">
        <f>IF(COUNTA(AD4:AM4)&gt;0, _xlfn.TEXTJOIN(", ", TRUE, AD4:AM4), "")</f>
        <v>27</v>
      </c>
      <c r="AO4" s="7">
        <f>AC4</f>
        <v>3000000</v>
      </c>
    </row>
    <row r="5" spans="1:41" ht="20" customHeight="1" x14ac:dyDescent="0.2">
      <c r="A5" s="12">
        <v>44200</v>
      </c>
      <c r="B5" s="13" t="s">
        <v>23</v>
      </c>
      <c r="C5" s="13" t="s">
        <v>24</v>
      </c>
      <c r="D5" s="14"/>
      <c r="E5" s="14" cm="1">
        <f t="array" ref="E5">IF(AND(A5&gt;=DATE(2018,1,1),A5&lt;=DATE(2019,12,31)),
   _xlfn.IFS(
      D5&lt;=1000000,0,
      D5&lt;=3000000,0.05*D5,
      D5&lt;=6000000,0.1*D5,
      D5&lt;=12000000,0.12*D5,
      D5&lt;=24000000,0.15*D5,
      D5&lt;=40000000,0.2*D5,
      D5&gt;40000000,0.24*D5
   ),
   IF(AND(A5&gt;=DATE(2020,1,1),A5&lt;=DATE(2023,12,31)),
      _xlfn.IFS(
         D5&lt;=1300000,0,
         D5&lt;=5000000,0.05*D5,
         D5&lt;=15000000,0.1*D5,
         D5&lt;=25000000,0.15*D5,
         D5&lt;=65000000,0.2*D5,
         D5&gt;65000000,0.25*D5
      ),
      "Out of range"
   )
)</f>
        <v>0</v>
      </c>
      <c r="F5" s="14"/>
      <c r="G5" s="14" cm="1">
        <f t="array" ref="G5">IF(AND(A5&gt;=DATE(2018,1,1),A5&lt;=DATE(2019,12,31)),
   _xlfn.IFS(
      F5&lt;=1000000,0,
      F5&lt;=3000000,0.05*F5,
      F5&lt;=6000000,0.1*F5,
      F5&lt;=12000000,0.12*F5,
      F5&lt;=24000000,0.15*F5,
      F5&lt;=40000000,0.2*F5,
      F5&gt;40000000,0.24*F5
   ),
   IF(AND(A5&gt;=DATE(2020,1,1),A5&lt;=DATE(2023,12,31)),
      _xlfn.IFS(
         F5&lt;=1300000,0,
         F5&lt;=5000000,0.05*F5,
         F5&lt;=15000000,0.1*F5,
         F5&lt;=25000000,0.15*F5,
         F5&lt;=65000000,0.2*F5,
         F5&gt;65000000,0.25*F5
      ),
      "Out of range"
   )
)</f>
        <v>0</v>
      </c>
      <c r="H5" s="14"/>
      <c r="I5" s="14" cm="1">
        <f t="array" ref="I5">IF(AND(A5&gt;=DATE(2018,1,1),A5&lt;=DATE(2019,12,31)),
   _xlfn.IFS(
      H5&lt;=1000000,0,
      H5&lt;=3000000,0.05*H5,
      H5&lt;=6000000,0.1*H5,
      H5&lt;=12000000,0.12*H5,
      H5&lt;=24000000,0.15*H5,
      H5&lt;=40000000,0.2*H5,
      H5&gt;40000000,0.24*H5
   ),
   IF(AND(A5&gt;=DATE(2020,1,1),A5&lt;=DATE(2023,12,31)),
      _xlfn.IFS(
         H5&lt;=1300000,0,
         H5&lt;=5000000,0.05*H5,
         H5&lt;=15000000,0.1*H5,
         H5&lt;=25000000,0.15*H5,
         H5&lt;=65000000,0.2*H5,
         H5&gt;65000000,0.25*H5
      ),
      "Out of range"
   )
)</f>
        <v>0</v>
      </c>
      <c r="J5" s="14"/>
      <c r="K5" s="14" cm="1">
        <f t="array" ref="K5">IF(AND(A5&gt;=DATE(2018,1,1),A5&lt;=DATE(2019,12,31)),
   _xlfn.IFS(
      J5&lt;=1000000,0,
      J5&lt;=3000000,0.05*J5,
      J5&lt;=6000000,0.1*J5,
      J5&lt;=12000000,0.12*J5,
      J5&lt;=24000000,0.15*J5,
      J5&lt;=40000000,0.2*J5,
      J5&gt;40000000,0.24*J5
   ),
   IF(AND(A5&gt;=DATE(2020,1,1),A5&lt;=DATE(2023,12,31)),
      _xlfn.IFS(
         J5&lt;=1300000,0,
         J5&lt;=5000000,0.05*J5,
         J5&lt;=15000000,0.1*J5,
         J5&lt;=25000000,0.15*J5,
         J5&lt;=65000000,0.2*J5,
         J5&gt;65000000,0.25*J5
      ),
      "Out of range"
   )
)</f>
        <v>0</v>
      </c>
      <c r="L5" s="14"/>
      <c r="M5" s="14" cm="1">
        <f t="array" ref="M5">IF(AND(A5&gt;=DATE(2018,1,1),A5&lt;=DATE(2019,12,31)),
   _xlfn.IFS(
      L5&lt;=1000000,0,
      L5&lt;=3000000,0.05*L5,
      L5&lt;=6000000,0.1*L5,
      L5&lt;=12000000,0.12*L5,
      L5&lt;=24000000,0.15*L5,
      L5&lt;=40000000,0.2*L5,
      L5&gt;40000000,0.24*L5
   ),
   IF(AND(A5&gt;=DATE(2020,1,1),A5&lt;=DATE(2023,12,31)),
      _xlfn.IFS(
         L5&lt;=1300000,0,
         L5&lt;=5000000,0.05*L5,
         L5&lt;=15000000,0.1*L5,
         L5&lt;=25000000,0.15*L5,
         L5&lt;=65000000,0.2*L5,
         L5&gt;65000000,0.25*L5
      ),
      "Out of range"
   )
)</f>
        <v>0</v>
      </c>
      <c r="N5" s="14"/>
      <c r="O5" s="14" cm="1">
        <f t="array" ref="O5">IF(AND(A5&gt;=DATE(2018,1,1),A5&lt;=DATE(2019,12,31)),
   _xlfn.IFS(
      N5&lt;=1000000,0,
      N5&lt;=3000000,0.05*N5,
      N5&lt;=6000000,0.1*N5,
      N5&lt;=12000000,0.12*N5,
      N5&lt;=24000000,0.15*N5,
      N5&lt;=40000000,0.2*N5,
      N5&gt;40000000,0.24*N5
   ),
   IF(AND(A5&gt;=DATE(2020,1,1),A5&lt;=DATE(2023,12,31)),
      _xlfn.IFS(
         N5&lt;=1300000,0,
         N5&lt;=5000000,0.05*N5,
         N5&lt;=15000000,0.1*N5,
         N5&lt;=25000000,0.15*N5,
         N5&lt;=65000000,0.2*N5,
         N5&gt;65000000,0.25*N5
      ),
      "Out of range"
   )
)</f>
        <v>0</v>
      </c>
      <c r="P5" s="14"/>
      <c r="Q5" s="14"/>
      <c r="R5" s="14">
        <f t="shared" si="0"/>
        <v>0</v>
      </c>
      <c r="S5" s="14">
        <v>30000000</v>
      </c>
      <c r="T5" s="14">
        <f>IF(AND(A5&gt;=DATE(2018,1,1),A5&lt;=DATE(2019,12,31),Q5=1,S5&gt;0),0.1*S5,
 IF(AND(A5&gt;=DATE(2020,1,1),A5&lt;=DATE(2023,12,31),S5&gt;0),0.1*S5,0))</f>
        <v>3000000</v>
      </c>
      <c r="U5" s="14"/>
      <c r="V5" s="14"/>
      <c r="W5" s="14">
        <f t="shared" si="2"/>
        <v>0</v>
      </c>
      <c r="X5" s="14"/>
      <c r="Y5" s="14">
        <f t="shared" si="3"/>
        <v>0</v>
      </c>
      <c r="Z5" s="14"/>
      <c r="AA5" s="14">
        <f t="shared" si="4"/>
        <v>0</v>
      </c>
      <c r="AB5" s="28"/>
      <c r="AC5" s="15">
        <f t="shared" si="5"/>
        <v>3000000</v>
      </c>
      <c r="AD5" s="23" t="str">
        <f t="shared" si="6"/>
        <v/>
      </c>
      <c r="AE5" s="23" t="str">
        <f t="shared" si="7"/>
        <v/>
      </c>
      <c r="AF5" s="23" t="str">
        <f t="shared" si="8"/>
        <v/>
      </c>
      <c r="AG5" s="23" t="str">
        <f t="shared" si="9"/>
        <v/>
      </c>
      <c r="AH5" s="23" t="str">
        <f t="shared" si="10"/>
        <v/>
      </c>
      <c r="AI5" s="23" t="str">
        <f t="shared" si="11"/>
        <v/>
      </c>
      <c r="AJ5" s="23">
        <f t="shared" si="12"/>
        <v>27</v>
      </c>
      <c r="AK5" s="23" t="str">
        <f t="shared" si="13"/>
        <v/>
      </c>
      <c r="AL5" s="23" t="str">
        <f t="shared" si="14"/>
        <v/>
      </c>
      <c r="AM5" s="23" t="str">
        <f t="shared" si="15"/>
        <v/>
      </c>
      <c r="AN5" s="24" t="str">
        <f>IF(COUNTA(AD5:AM5)&gt;0, _xlfn.TEXTJOIN(", ", TRUE, AD5:AM5), "")</f>
        <v>27</v>
      </c>
      <c r="AO5" s="7">
        <f>AC5</f>
        <v>3000000</v>
      </c>
    </row>
    <row r="6" spans="1:41" ht="20" customHeight="1" x14ac:dyDescent="0.2">
      <c r="A6" s="12">
        <v>44931</v>
      </c>
      <c r="B6" s="13" t="s">
        <v>25</v>
      </c>
      <c r="C6" s="13" t="s">
        <v>26</v>
      </c>
      <c r="D6" s="16"/>
      <c r="E6" s="14" cm="1">
        <f t="array" ref="E6">IF(AND(A6&gt;=DATE(2018,1,1),A6&lt;=DATE(2019,12,31)),
   _xlfn.IFS(
      D6&lt;=1000000,0,
      D6&lt;=3000000,0.05*D6,
      D6&lt;=6000000,0.1*D6,
      D6&lt;=12000000,0.12*D6,
      D6&lt;=24000000,0.15*D6,
      D6&lt;=40000000,0.2*D6,
      D6&gt;40000000,0.24*D6
   ),
   IF(AND(A6&gt;=DATE(2020,1,1),A6&lt;=DATE(2023,12,31)),
      _xlfn.IFS(
         D6&lt;=1300000,0,
         D6&lt;=5000000,0.05*D6,
         D6&lt;=15000000,0.1*D6,
         D6&lt;=25000000,0.15*D6,
         D6&lt;=65000000,0.2*D6,
         D6&gt;65000000,0.25*D6
      ),
      "Out of range"
   )
)</f>
        <v>0</v>
      </c>
      <c r="F6" s="14"/>
      <c r="G6" s="14" cm="1">
        <f t="array" ref="G6">IF(AND(A6&gt;=DATE(2018,1,1),A6&lt;=DATE(2019,12,31)),
   _xlfn.IFS(
      F6&lt;=1000000,0,
      F6&lt;=3000000,0.05*F6,
      F6&lt;=6000000,0.1*F6,
      F6&lt;=12000000,0.12*F6,
      F6&lt;=24000000,0.15*F6,
      F6&lt;=40000000,0.2*F6,
      F6&gt;40000000,0.24*F6
   ),
   IF(AND(A6&gt;=DATE(2020,1,1),A6&lt;=DATE(2023,12,31)),
      _xlfn.IFS(
         F6&lt;=1300000,0,
         F6&lt;=5000000,0.05*F6,
         F6&lt;=15000000,0.1*F6,
         F6&lt;=25000000,0.15*F6,
         F6&lt;=65000000,0.2*F6,
         F6&gt;65000000,0.25*F6
      ),
      "Out of range"
   )
)</f>
        <v>0</v>
      </c>
      <c r="H6" s="14"/>
      <c r="I6" s="14" cm="1">
        <f t="array" ref="I6">IF(AND(A6&gt;=DATE(2018,1,1),A6&lt;=DATE(2019,12,31)),
   _xlfn.IFS(
      H6&lt;=1000000,0,
      H6&lt;=3000000,0.05*H6,
      H6&lt;=6000000,0.1*H6,
      H6&lt;=12000000,0.12*H6,
      H6&lt;=24000000,0.15*H6,
      H6&lt;=40000000,0.2*H6,
      H6&gt;40000000,0.24*H6
   ),
   IF(AND(A6&gt;=DATE(2020,1,1),A6&lt;=DATE(2023,12,31)),
      _xlfn.IFS(
         H6&lt;=1300000,0,
         H6&lt;=5000000,0.05*H6,
         H6&lt;=15000000,0.1*H6,
         H6&lt;=25000000,0.15*H6,
         H6&lt;=65000000,0.2*H6,
         H6&gt;65000000,0.25*H6
      ),
      "Out of range"
   )
)</f>
        <v>0</v>
      </c>
      <c r="J6" s="14"/>
      <c r="K6" s="14" cm="1">
        <f t="array" ref="K6">IF(AND(A6&gt;=DATE(2018,1,1),A6&lt;=DATE(2019,12,31)),
   _xlfn.IFS(
      J6&lt;=1000000,0,
      J6&lt;=3000000,0.05*J6,
      J6&lt;=6000000,0.1*J6,
      J6&lt;=12000000,0.12*J6,
      J6&lt;=24000000,0.15*J6,
      J6&lt;=40000000,0.2*J6,
      J6&gt;40000000,0.24*J6
   ),
   IF(AND(A6&gt;=DATE(2020,1,1),A6&lt;=DATE(2023,12,31)),
      _xlfn.IFS(
         J6&lt;=1300000,0,
         J6&lt;=5000000,0.05*J6,
         J6&lt;=15000000,0.1*J6,
         J6&lt;=25000000,0.15*J6,
         J6&lt;=65000000,0.2*J6,
         J6&gt;65000000,0.25*J6
      ),
      "Out of range"
   )
)</f>
        <v>0</v>
      </c>
      <c r="L6" s="14"/>
      <c r="M6" s="14" cm="1">
        <f t="array" ref="M6">IF(AND(A6&gt;=DATE(2018,1,1),A6&lt;=DATE(2019,12,31)),
   _xlfn.IFS(
      L6&lt;=1000000,0,
      L6&lt;=3000000,0.05*L6,
      L6&lt;=6000000,0.1*L6,
      L6&lt;=12000000,0.12*L6,
      L6&lt;=24000000,0.15*L6,
      L6&lt;=40000000,0.2*L6,
      L6&gt;40000000,0.24*L6
   ),
   IF(AND(A6&gt;=DATE(2020,1,1),A6&lt;=DATE(2023,12,31)),
      _xlfn.IFS(
         L6&lt;=1300000,0,
         L6&lt;=5000000,0.05*L6,
         L6&lt;=15000000,0.1*L6,
         L6&lt;=25000000,0.15*L6,
         L6&lt;=65000000,0.2*L6,
         L6&gt;65000000,0.25*L6
      ),
      "Out of range"
   )
)</f>
        <v>0</v>
      </c>
      <c r="N6" s="14"/>
      <c r="O6" s="14" cm="1">
        <f t="array" ref="O6">IF(AND(A6&gt;=DATE(2018,1,1),A6&lt;=DATE(2019,12,31)),
   _xlfn.IFS(
      N6&lt;=1000000,0,
      N6&lt;=3000000,0.05*N6,
      N6&lt;=6000000,0.1*N6,
      N6&lt;=12000000,0.12*N6,
      N6&lt;=24000000,0.15*N6,
      N6&lt;=40000000,0.2*N6,
      N6&gt;40000000,0.24*N6
   ),
   IF(AND(A6&gt;=DATE(2020,1,1),A6&lt;=DATE(2023,12,31)),
      _xlfn.IFS(
         N6&lt;=1300000,0,
         N6&lt;=5000000,0.05*N6,
         N6&lt;=15000000,0.1*N6,
         N6&lt;=25000000,0.15*N6,
         N6&lt;=65000000,0.2*N6,
         N6&gt;65000000,0.25*N6
      ),
      "Out of range"
   )
)</f>
        <v>0</v>
      </c>
      <c r="P6" s="14"/>
      <c r="Q6" s="14"/>
      <c r="R6" s="14">
        <f t="shared" si="0"/>
        <v>0</v>
      </c>
      <c r="S6" s="14"/>
      <c r="T6" s="14">
        <f t="shared" si="1"/>
        <v>0</v>
      </c>
      <c r="U6" s="14">
        <v>50000000</v>
      </c>
      <c r="V6" s="14">
        <v>1</v>
      </c>
      <c r="W6" s="14">
        <f t="shared" si="2"/>
        <v>5000000</v>
      </c>
      <c r="X6" s="14"/>
      <c r="Y6" s="14">
        <f t="shared" si="3"/>
        <v>0</v>
      </c>
      <c r="Z6" s="14"/>
      <c r="AA6" s="14">
        <f t="shared" si="4"/>
        <v>0</v>
      </c>
      <c r="AB6" s="28"/>
      <c r="AC6" s="15">
        <f t="shared" si="5"/>
        <v>5000000</v>
      </c>
      <c r="AD6" s="23" t="str">
        <f t="shared" si="6"/>
        <v/>
      </c>
      <c r="AE6" s="23" t="str">
        <f t="shared" si="7"/>
        <v/>
      </c>
      <c r="AF6" s="23" t="str">
        <f t="shared" si="8"/>
        <v/>
      </c>
      <c r="AG6" s="23" t="str">
        <f t="shared" si="9"/>
        <v/>
      </c>
      <c r="AH6" s="23" t="str">
        <f t="shared" si="10"/>
        <v/>
      </c>
      <c r="AI6" s="23" t="str">
        <f t="shared" si="11"/>
        <v/>
      </c>
      <c r="AJ6" s="23" t="str">
        <f t="shared" si="12"/>
        <v/>
      </c>
      <c r="AK6" s="23">
        <f t="shared" si="13"/>
        <v>28</v>
      </c>
      <c r="AL6" s="23" t="str">
        <f t="shared" si="14"/>
        <v/>
      </c>
      <c r="AM6" s="23" t="str">
        <f t="shared" si="15"/>
        <v/>
      </c>
      <c r="AN6" s="24" t="str">
        <f>IF(COUNTA(AD6:AM6)&gt;0, _xlfn.TEXTJOIN(", ", TRUE, AD6:AM6), "")</f>
        <v>28</v>
      </c>
      <c r="AO6" s="7">
        <f>AC6</f>
        <v>5000000</v>
      </c>
    </row>
    <row r="7" spans="1:41" ht="20" customHeight="1" x14ac:dyDescent="0.2">
      <c r="A7" s="12">
        <v>43471</v>
      </c>
      <c r="B7" s="13" t="s">
        <v>27</v>
      </c>
      <c r="C7" s="13" t="s">
        <v>28</v>
      </c>
      <c r="D7" s="14"/>
      <c r="E7" s="14" cm="1">
        <f t="array" ref="E7">IF(AND(A7&gt;=DATE(2018,1,1),A7&lt;=DATE(2019,12,31)),
   _xlfn.IFS(
      D7&lt;=1000000,0,
      D7&lt;=3000000,0.05*D7,
      D7&lt;=6000000,0.1*D7,
      D7&lt;=12000000,0.12*D7,
      D7&lt;=24000000,0.15*D7,
      D7&lt;=40000000,0.2*D7,
      D7&gt;40000000,0.24*D7
   ),
   IF(AND(A7&gt;=DATE(2020,1,1),A7&lt;=DATE(2023,12,31)),
      _xlfn.IFS(
         D7&lt;=1300000,0,
         D7&lt;=5000000,0.05*D7,
         D7&lt;=15000000,0.1*D7,
         D7&lt;=25000000,0.15*D7,
         D7&lt;=65000000,0.2*D7,
         D7&gt;65000000,0.25*D7
      ),
      "Out of range"
   )
)</f>
        <v>0</v>
      </c>
      <c r="F7" s="14">
        <v>40000000</v>
      </c>
      <c r="G7" s="14" cm="1">
        <f t="array" ref="G7">IF(AND(A7&gt;=DATE(2018,1,1),A7&lt;=DATE(2019,12,31)),
   _xlfn.IFS(
      F7&lt;=1000000,0,
      F7&lt;=3000000,0.05*F7,
      F7&lt;=6000000,0.1*F7,
      F7&lt;=12000000,0.12*F7,
      F7&lt;=24000000,0.15*F7,
      F7&lt;=40000000,0.2*F7,
      F7&gt;40000000,0.24*F7
   ),
   IF(AND(A7&gt;=DATE(2020,1,1),A7&lt;=DATE(2023,12,31)),
      _xlfn.IFS(
         F7&lt;=1300000,0,
         F7&lt;=5000000,0.05*F7,
         F7&lt;=15000000,0.1*F7,
         F7&lt;=25000000,0.15*F7,
         F7&lt;=65000000,0.2*F7,
         F7&gt;65000000,0.25*F7
      ),
      "Out of range"
   )
)</f>
        <v>8000000</v>
      </c>
      <c r="H7" s="14"/>
      <c r="I7" s="14" cm="1">
        <f t="array" ref="I7">IF(AND(A7&gt;=DATE(2018,1,1),A7&lt;=DATE(2019,12,31)),
   _xlfn.IFS(
      H7&lt;=1000000,0,
      H7&lt;=3000000,0.05*H7,
      H7&lt;=6000000,0.1*H7,
      H7&lt;=12000000,0.12*H7,
      H7&lt;=24000000,0.15*H7,
      H7&lt;=40000000,0.2*H7,
      H7&gt;40000000,0.24*H7
   ),
   IF(AND(A7&gt;=DATE(2020,1,1),A7&lt;=DATE(2023,12,31)),
      _xlfn.IFS(
         H7&lt;=1300000,0,
         H7&lt;=5000000,0.05*H7,
         H7&lt;=15000000,0.1*H7,
         H7&lt;=25000000,0.15*H7,
         H7&lt;=65000000,0.2*H7,
         H7&gt;65000000,0.25*H7
      ),
      "Out of range"
   )
)</f>
        <v>0</v>
      </c>
      <c r="J7" s="14"/>
      <c r="K7" s="14" cm="1">
        <f t="array" ref="K7">IF(AND(A7&gt;=DATE(2018,1,1),A7&lt;=DATE(2019,12,31)),
   _xlfn.IFS(
      J7&lt;=1000000,0,
      J7&lt;=3000000,0.05*J7,
      J7&lt;=6000000,0.1*J7,
      J7&lt;=12000000,0.12*J7,
      J7&lt;=24000000,0.15*J7,
      J7&lt;=40000000,0.2*J7,
      J7&gt;40000000,0.24*J7
   ),
   IF(AND(A7&gt;=DATE(2020,1,1),A7&lt;=DATE(2023,12,31)),
      _xlfn.IFS(
         J7&lt;=1300000,0,
         J7&lt;=5000000,0.05*J7,
         J7&lt;=15000000,0.1*J7,
         J7&lt;=25000000,0.15*J7,
         J7&lt;=65000000,0.2*J7,
         J7&gt;65000000,0.25*J7
      ),
      "Out of range"
   )
)</f>
        <v>0</v>
      </c>
      <c r="L7" s="14"/>
      <c r="M7" s="14" cm="1">
        <f t="array" ref="M7">IF(AND(A7&gt;=DATE(2018,1,1),A7&lt;=DATE(2019,12,31)),
   _xlfn.IFS(
      L7&lt;=1000000,0,
      L7&lt;=3000000,0.05*L7,
      L7&lt;=6000000,0.1*L7,
      L7&lt;=12000000,0.12*L7,
      L7&lt;=24000000,0.15*L7,
      L7&lt;=40000000,0.2*L7,
      L7&gt;40000000,0.24*L7
   ),
   IF(AND(A7&gt;=DATE(2020,1,1),A7&lt;=DATE(2023,12,31)),
      _xlfn.IFS(
         L7&lt;=1300000,0,
         L7&lt;=5000000,0.05*L7,
         L7&lt;=15000000,0.1*L7,
         L7&lt;=25000000,0.15*L7,
         L7&lt;=65000000,0.2*L7,
         L7&gt;65000000,0.25*L7
      ),
      "Out of range"
   )
)</f>
        <v>0</v>
      </c>
      <c r="N7" s="14"/>
      <c r="O7" s="14" cm="1">
        <f t="array" ref="O7">IF(AND(A7&gt;=DATE(2018,1,1),A7&lt;=DATE(2019,12,31)),
   _xlfn.IFS(
      N7&lt;=1000000,0,
      N7&lt;=3000000,0.05*N7,
      N7&lt;=6000000,0.1*N7,
      N7&lt;=12000000,0.12*N7,
      N7&lt;=24000000,0.15*N7,
      N7&lt;=40000000,0.2*N7,
      N7&gt;40000000,0.24*N7
   ),
   IF(AND(A7&gt;=DATE(2020,1,1),A7&lt;=DATE(2023,12,31)),
      _xlfn.IFS(
         N7&lt;=1300000,0,
         N7&lt;=5000000,0.05*N7,
         N7&lt;=15000000,0.1*N7,
         N7&lt;=25000000,0.15*N7,
         N7&lt;=65000000,0.2*N7,
         N7&gt;65000000,0.25*N7
      ),
      "Out of range"
   )
)</f>
        <v>0</v>
      </c>
      <c r="P7" s="14"/>
      <c r="Q7" s="14"/>
      <c r="R7" s="14">
        <f t="shared" si="0"/>
        <v>0</v>
      </c>
      <c r="S7" s="14"/>
      <c r="T7" s="14">
        <f t="shared" si="1"/>
        <v>0</v>
      </c>
      <c r="U7" s="14">
        <v>50000000</v>
      </c>
      <c r="V7" s="14"/>
      <c r="W7" s="14">
        <f t="shared" si="2"/>
        <v>0</v>
      </c>
      <c r="X7" s="14"/>
      <c r="Y7" s="14">
        <f t="shared" si="3"/>
        <v>0</v>
      </c>
      <c r="Z7" s="14"/>
      <c r="AA7" s="14">
        <f t="shared" si="4"/>
        <v>0</v>
      </c>
      <c r="AB7" s="28"/>
      <c r="AC7" s="15">
        <f t="shared" si="5"/>
        <v>8000000</v>
      </c>
      <c r="AD7" s="23" t="str">
        <f t="shared" si="6"/>
        <v/>
      </c>
      <c r="AE7" s="23">
        <f t="shared" si="7"/>
        <v>22</v>
      </c>
      <c r="AF7" s="23" t="str">
        <f t="shared" si="8"/>
        <v/>
      </c>
      <c r="AG7" s="23" t="str">
        <f t="shared" si="9"/>
        <v/>
      </c>
      <c r="AH7" s="23" t="str">
        <f t="shared" si="10"/>
        <v/>
      </c>
      <c r="AI7" s="23" t="str">
        <f t="shared" si="11"/>
        <v/>
      </c>
      <c r="AJ7" s="23" t="str">
        <f t="shared" si="12"/>
        <v/>
      </c>
      <c r="AK7" s="23" t="str">
        <f t="shared" si="13"/>
        <v/>
      </c>
      <c r="AL7" s="23" t="str">
        <f t="shared" si="14"/>
        <v/>
      </c>
      <c r="AM7" s="23" t="str">
        <f t="shared" si="15"/>
        <v/>
      </c>
      <c r="AN7" s="24" t="str">
        <f>IF(COUNTA(AD7:AM7)&gt;0, _xlfn.TEXTJOIN(", ", TRUE, AD7:AM7), "")</f>
        <v>22</v>
      </c>
      <c r="AO7" s="7">
        <f>AC7</f>
        <v>8000000</v>
      </c>
    </row>
    <row r="8" spans="1:41" ht="20" customHeight="1" x14ac:dyDescent="0.2">
      <c r="A8" s="12">
        <v>43472</v>
      </c>
      <c r="B8" s="13" t="s">
        <v>29</v>
      </c>
      <c r="C8" s="13" t="s">
        <v>30</v>
      </c>
      <c r="D8" s="16"/>
      <c r="E8" s="14" cm="1">
        <f t="array" ref="E8">IF(AND(A8&gt;=DATE(2018,1,1),A8&lt;=DATE(2019,12,31)),
   _xlfn.IFS(
      D8&lt;=1000000,0,
      D8&lt;=3000000,0.05*D8,
      D8&lt;=6000000,0.1*D8,
      D8&lt;=12000000,0.12*D8,
      D8&lt;=24000000,0.15*D8,
      D8&lt;=40000000,0.2*D8,
      D8&gt;40000000,0.24*D8
   ),
   IF(AND(A8&gt;=DATE(2020,1,1),A8&lt;=DATE(2023,12,31)),
      _xlfn.IFS(
         D8&lt;=1300000,0,
         D8&lt;=5000000,0.05*D8,
         D8&lt;=15000000,0.1*D8,
         D8&lt;=25000000,0.15*D8,
         D8&lt;=65000000,0.2*D8,
         D8&gt;65000000,0.25*D8
      ),
      "Out of range"
   )
)</f>
        <v>0</v>
      </c>
      <c r="F8" s="14"/>
      <c r="G8" s="14" cm="1">
        <f t="array" ref="G8">IF(AND(A8&gt;=DATE(2018,1,1),A8&lt;=DATE(2019,12,31)),
   _xlfn.IFS(
      F8&lt;=1000000,0,
      F8&lt;=3000000,0.05*F8,
      F8&lt;=6000000,0.1*F8,
      F8&lt;=12000000,0.12*F8,
      F8&lt;=24000000,0.15*F8,
      F8&lt;=40000000,0.2*F8,
      F8&gt;40000000,0.24*F8
   ),
   IF(AND(A8&gt;=DATE(2020,1,1),A8&lt;=DATE(2023,12,31)),
      _xlfn.IFS(
         F8&lt;=1300000,0,
         F8&lt;=5000000,0.05*F8,
         F8&lt;=15000000,0.1*F8,
         F8&lt;=25000000,0.15*F8,
         F8&lt;=65000000,0.2*F8,
         F8&gt;65000000,0.25*F8
      ),
      "Out of range"
   )
)</f>
        <v>0</v>
      </c>
      <c r="H8" s="14"/>
      <c r="I8" s="14" cm="1">
        <f t="array" ref="I8">IF(AND(A8&gt;=DATE(2018,1,1),A8&lt;=DATE(2019,12,31)),
   _xlfn.IFS(
      H8&lt;=1000000,0,
      H8&lt;=3000000,0.05*H8,
      H8&lt;=6000000,0.1*H8,
      H8&lt;=12000000,0.12*H8,
      H8&lt;=24000000,0.15*H8,
      H8&lt;=40000000,0.2*H8,
      H8&gt;40000000,0.24*H8
   ),
   IF(AND(A8&gt;=DATE(2020,1,1),A8&lt;=DATE(2023,12,31)),
      _xlfn.IFS(
         H8&lt;=1300000,0,
         H8&lt;=5000000,0.05*H8,
         H8&lt;=15000000,0.1*H8,
         H8&lt;=25000000,0.15*H8,
         H8&lt;=65000000,0.2*H8,
         H8&gt;65000000,0.25*H8
      ),
      "Out of range"
   )
)</f>
        <v>0</v>
      </c>
      <c r="J8" s="14"/>
      <c r="K8" s="14" cm="1">
        <f t="array" ref="K8">IF(AND(A8&gt;=DATE(2018,1,1),A8&lt;=DATE(2019,12,31)),
   _xlfn.IFS(
      J8&lt;=1000000,0,
      J8&lt;=3000000,0.05*J8,
      J8&lt;=6000000,0.1*J8,
      J8&lt;=12000000,0.12*J8,
      J8&lt;=24000000,0.15*J8,
      J8&lt;=40000000,0.2*J8,
      J8&gt;40000000,0.24*J8
   ),
   IF(AND(A8&gt;=DATE(2020,1,1),A8&lt;=DATE(2023,12,31)),
      _xlfn.IFS(
         J8&lt;=1300000,0,
         J8&lt;=5000000,0.05*J8,
         J8&lt;=15000000,0.1*J8,
         J8&lt;=25000000,0.15*J8,
         J8&lt;=65000000,0.2*J8,
         J8&gt;65000000,0.25*J8
      ),
      "Out of range"
   )
)</f>
        <v>0</v>
      </c>
      <c r="L8" s="14"/>
      <c r="M8" s="14" cm="1">
        <f t="array" ref="M8">IF(AND(A8&gt;=DATE(2018,1,1),A8&lt;=DATE(2019,12,31)),
   _xlfn.IFS(
      L8&lt;=1000000,0,
      L8&lt;=3000000,0.05*L8,
      L8&lt;=6000000,0.1*L8,
      L8&lt;=12000000,0.12*L8,
      L8&lt;=24000000,0.15*L8,
      L8&lt;=40000000,0.2*L8,
      L8&gt;40000000,0.24*L8
   ),
   IF(AND(A8&gt;=DATE(2020,1,1),A8&lt;=DATE(2023,12,31)),
      _xlfn.IFS(
         L8&lt;=1300000,0,
         L8&lt;=5000000,0.05*L8,
         L8&lt;=15000000,0.1*L8,
         L8&lt;=25000000,0.15*L8,
         L8&lt;=65000000,0.2*L8,
         L8&gt;65000000,0.25*L8
      ),
      "Out of range"
   )
)</f>
        <v>0</v>
      </c>
      <c r="N8" s="14"/>
      <c r="O8" s="14" cm="1">
        <f t="array" ref="O8">IF(AND(A8&gt;=DATE(2018,1,1),A8&lt;=DATE(2019,12,31)),
   _xlfn.IFS(
      N8&lt;=1000000,0,
      N8&lt;=3000000,0.05*N8,
      N8&lt;=6000000,0.1*N8,
      N8&lt;=12000000,0.12*N8,
      N8&lt;=24000000,0.15*N8,
      N8&lt;=40000000,0.2*N8,
      N8&gt;40000000,0.24*N8
   ),
   IF(AND(A8&gt;=DATE(2020,1,1),A8&lt;=DATE(2023,12,31)),
      _xlfn.IFS(
         N8&lt;=1300000,0,
         N8&lt;=5000000,0.05*N8,
         N8&lt;=15000000,0.1*N8,
         N8&lt;=25000000,0.15*N8,
         N8&lt;=65000000,0.2*N8,
         N8&gt;65000000,0.25*N8
      ),
      "Out of range"
   )
)</f>
        <v>0</v>
      </c>
      <c r="P8" s="14"/>
      <c r="Q8" s="14"/>
      <c r="R8" s="14">
        <f t="shared" si="0"/>
        <v>0</v>
      </c>
      <c r="S8" s="14"/>
      <c r="T8" s="14">
        <f t="shared" si="1"/>
        <v>0</v>
      </c>
      <c r="U8" s="14"/>
      <c r="V8" s="14"/>
      <c r="W8" s="14">
        <f t="shared" si="2"/>
        <v>0</v>
      </c>
      <c r="X8" s="14">
        <v>5000000</v>
      </c>
      <c r="Y8" s="14">
        <f t="shared" si="3"/>
        <v>500000</v>
      </c>
      <c r="Z8" s="14"/>
      <c r="AA8" s="14">
        <f t="shared" si="4"/>
        <v>0</v>
      </c>
      <c r="AB8" s="28"/>
      <c r="AC8" s="15">
        <f t="shared" si="5"/>
        <v>500000</v>
      </c>
      <c r="AD8" s="23" t="str">
        <f t="shared" si="6"/>
        <v/>
      </c>
      <c r="AE8" s="23" t="str">
        <f t="shared" si="7"/>
        <v/>
      </c>
      <c r="AF8" s="23" t="str">
        <f t="shared" si="8"/>
        <v/>
      </c>
      <c r="AG8" s="23" t="str">
        <f t="shared" si="9"/>
        <v/>
      </c>
      <c r="AH8" s="23" t="str">
        <f t="shared" si="10"/>
        <v/>
      </c>
      <c r="AI8" s="23" t="str">
        <f t="shared" si="11"/>
        <v/>
      </c>
      <c r="AJ8" s="23" t="str">
        <f t="shared" si="12"/>
        <v/>
      </c>
      <c r="AK8" s="23">
        <f t="shared" si="13"/>
        <v>28</v>
      </c>
      <c r="AL8" s="23" t="str">
        <f t="shared" si="14"/>
        <v/>
      </c>
      <c r="AM8" s="23" t="str">
        <f t="shared" si="15"/>
        <v/>
      </c>
      <c r="AN8" s="24" t="str">
        <f>IF(COUNTA(AD8:AM8)&gt;0, _xlfn.TEXTJOIN(", ", TRUE, AD8:AM8), "")</f>
        <v>28</v>
      </c>
      <c r="AO8" s="7">
        <f>AC8</f>
        <v>500000</v>
      </c>
    </row>
    <row r="9" spans="1:41" ht="20" customHeight="1" x14ac:dyDescent="0.2">
      <c r="A9" s="12">
        <v>43473</v>
      </c>
      <c r="B9" s="13" t="s">
        <v>31</v>
      </c>
      <c r="C9" s="13" t="s">
        <v>32</v>
      </c>
      <c r="D9" s="16"/>
      <c r="E9" s="14" cm="1">
        <f t="array" ref="E9">IF(AND(A9&gt;=DATE(2018,1,1),A9&lt;=DATE(2019,12,31)),
   _xlfn.IFS(
      D9&lt;=1000000,0,
      D9&lt;=3000000,0.05*D9,
      D9&lt;=6000000,0.1*D9,
      D9&lt;=12000000,0.12*D9,
      D9&lt;=24000000,0.15*D9,
      D9&lt;=40000000,0.2*D9,
      D9&gt;40000000,0.24*D9
   ),
   IF(AND(A9&gt;=DATE(2020,1,1),A9&lt;=DATE(2023,12,31)),
      _xlfn.IFS(
         D9&lt;=1300000,0,
         D9&lt;=5000000,0.05*D9,
         D9&lt;=15000000,0.1*D9,
         D9&lt;=25000000,0.15*D9,
         D9&lt;=65000000,0.2*D9,
         D9&gt;65000000,0.25*D9
      ),
      "Out of range"
   )
)</f>
        <v>0</v>
      </c>
      <c r="F9" s="14"/>
      <c r="G9" s="14" cm="1">
        <f t="array" ref="G9">IF(AND(A9&gt;=DATE(2018,1,1),A9&lt;=DATE(2019,12,31)),
   _xlfn.IFS(
      F9&lt;=1000000,0,
      F9&lt;=3000000,0.05*F9,
      F9&lt;=6000000,0.1*F9,
      F9&lt;=12000000,0.12*F9,
      F9&lt;=24000000,0.15*F9,
      F9&lt;=40000000,0.2*F9,
      F9&gt;40000000,0.24*F9
   ),
   IF(AND(A9&gt;=DATE(2020,1,1),A9&lt;=DATE(2023,12,31)),
      _xlfn.IFS(
         F9&lt;=1300000,0,
         F9&lt;=5000000,0.05*F9,
         F9&lt;=15000000,0.1*F9,
         F9&lt;=25000000,0.15*F9,
         F9&lt;=65000000,0.2*F9,
         F9&gt;65000000,0.25*F9
      ),
      "Out of range"
   )
)</f>
        <v>0</v>
      </c>
      <c r="H9" s="14"/>
      <c r="I9" s="14" cm="1">
        <f t="array" ref="I9">IF(AND(A9&gt;=DATE(2018,1,1),A9&lt;=DATE(2019,12,31)),
   _xlfn.IFS(
      H9&lt;=1000000,0,
      H9&lt;=3000000,0.05*H9,
      H9&lt;=6000000,0.1*H9,
      H9&lt;=12000000,0.12*H9,
      H9&lt;=24000000,0.15*H9,
      H9&lt;=40000000,0.2*H9,
      H9&gt;40000000,0.24*H9
   ),
   IF(AND(A9&gt;=DATE(2020,1,1),A9&lt;=DATE(2023,12,31)),
      _xlfn.IFS(
         H9&lt;=1300000,0,
         H9&lt;=5000000,0.05*H9,
         H9&lt;=15000000,0.1*H9,
         H9&lt;=25000000,0.15*H9,
         H9&lt;=65000000,0.2*H9,
         H9&gt;65000000,0.25*H9
      ),
      "Out of range"
   )
)</f>
        <v>0</v>
      </c>
      <c r="J9" s="14">
        <v>1200000</v>
      </c>
      <c r="K9" s="14" cm="1">
        <f t="array" ref="K9">IF(AND(A9&gt;=DATE(2018,1,1),A9&lt;=DATE(2019,12,31)),
   _xlfn.IFS(
      J9&lt;=1000000,0,
      J9&lt;=3000000,0.05*J9,
      J9&lt;=6000000,0.1*J9,
      J9&lt;=12000000,0.12*J9,
      J9&lt;=24000000,0.15*J9,
      J9&lt;=40000000,0.2*J9,
      J9&gt;40000000,0.24*J9
   ),
   IF(AND(A9&gt;=DATE(2020,1,1),A9&lt;=DATE(2023,12,31)),
      _xlfn.IFS(
         J9&lt;=1300000,0,
         J9&lt;=5000000,0.05*J9,
         J9&lt;=15000000,0.1*J9,
         J9&lt;=25000000,0.15*J9,
         J9&lt;=65000000,0.2*J9,
         J9&gt;65000000,0.25*J9
      ),
      "Out of range"
   )
)</f>
        <v>60000</v>
      </c>
      <c r="L9" s="14"/>
      <c r="M9" s="14" cm="1">
        <f t="array" ref="M9">IF(AND(A9&gt;=DATE(2018,1,1),A9&lt;=DATE(2019,12,31)),
   _xlfn.IFS(
      L9&lt;=1000000,0,
      L9&lt;=3000000,0.05*L9,
      L9&lt;=6000000,0.1*L9,
      L9&lt;=12000000,0.12*L9,
      L9&lt;=24000000,0.15*L9,
      L9&lt;=40000000,0.2*L9,
      L9&gt;40000000,0.24*L9
   ),
   IF(AND(A9&gt;=DATE(2020,1,1),A9&lt;=DATE(2023,12,31)),
      _xlfn.IFS(
         L9&lt;=1300000,0,
         L9&lt;=5000000,0.05*L9,
         L9&lt;=15000000,0.1*L9,
         L9&lt;=25000000,0.15*L9,
         L9&lt;=65000000,0.2*L9,
         L9&gt;65000000,0.25*L9
      ),
      "Out of range"
   )
)</f>
        <v>0</v>
      </c>
      <c r="N9" s="14"/>
      <c r="O9" s="14" cm="1">
        <f t="array" ref="O9">IF(AND(A9&gt;=DATE(2018,1,1),A9&lt;=DATE(2019,12,31)),
   _xlfn.IFS(
      N9&lt;=1000000,0,
      N9&lt;=3000000,0.05*N9,
      N9&lt;=6000000,0.1*N9,
      N9&lt;=12000000,0.12*N9,
      N9&lt;=24000000,0.15*N9,
      N9&lt;=40000000,0.2*N9,
      N9&gt;40000000,0.24*N9
   ),
   IF(AND(A9&gt;=DATE(2020,1,1),A9&lt;=DATE(2023,12,31)),
      _xlfn.IFS(
         N9&lt;=1300000,0,
         N9&lt;=5000000,0.05*N9,
         N9&lt;=15000000,0.1*N9,
         N9&lt;=25000000,0.15*N9,
         N9&lt;=65000000,0.2*N9,
         N9&gt;65000000,0.25*N9
      ),
      "Out of range"
   )
)</f>
        <v>0</v>
      </c>
      <c r="P9" s="14"/>
      <c r="Q9" s="14"/>
      <c r="R9" s="14">
        <f t="shared" si="0"/>
        <v>0</v>
      </c>
      <c r="S9" s="14"/>
      <c r="T9" s="14">
        <f t="shared" si="1"/>
        <v>0</v>
      </c>
      <c r="U9" s="14"/>
      <c r="V9" s="14"/>
      <c r="W9" s="14">
        <f t="shared" si="2"/>
        <v>0</v>
      </c>
      <c r="X9" s="14"/>
      <c r="Y9" s="14">
        <f t="shared" si="3"/>
        <v>0</v>
      </c>
      <c r="Z9" s="14"/>
      <c r="AA9" s="14">
        <f t="shared" si="4"/>
        <v>0</v>
      </c>
      <c r="AB9" s="28"/>
      <c r="AC9" s="15">
        <f t="shared" si="5"/>
        <v>60000</v>
      </c>
      <c r="AD9" s="23" t="str">
        <f t="shared" si="6"/>
        <v/>
      </c>
      <c r="AE9" s="23" t="str">
        <f t="shared" si="7"/>
        <v/>
      </c>
      <c r="AF9" s="23">
        <f t="shared" si="8"/>
        <v>23</v>
      </c>
      <c r="AG9" s="23" t="str">
        <f t="shared" si="9"/>
        <v/>
      </c>
      <c r="AH9" s="23" t="str">
        <f t="shared" si="10"/>
        <v/>
      </c>
      <c r="AI9" s="23" t="str">
        <f t="shared" si="11"/>
        <v/>
      </c>
      <c r="AJ9" s="23" t="str">
        <f t="shared" si="12"/>
        <v/>
      </c>
      <c r="AK9" s="23" t="str">
        <f t="shared" si="13"/>
        <v/>
      </c>
      <c r="AL9" s="23" t="str">
        <f t="shared" si="14"/>
        <v/>
      </c>
      <c r="AM9" s="23" t="str">
        <f t="shared" si="15"/>
        <v/>
      </c>
      <c r="AN9" s="24" t="str">
        <f>IF(COUNTA(AD9:AM9)&gt;0, _xlfn.TEXTJOIN(", ", TRUE, AD9:AM9), "")</f>
        <v>23</v>
      </c>
      <c r="AO9" s="7">
        <f>AC9</f>
        <v>60000</v>
      </c>
    </row>
    <row r="10" spans="1:41" ht="20" customHeight="1" x14ac:dyDescent="0.2">
      <c r="A10" s="12">
        <v>43839</v>
      </c>
      <c r="B10" s="13" t="s">
        <v>33</v>
      </c>
      <c r="C10" s="13" t="s">
        <v>34</v>
      </c>
      <c r="D10" s="16"/>
      <c r="E10" s="14" cm="1">
        <f t="array" ref="E10">IF(AND(A10&gt;=DATE(2018,1,1),A10&lt;=DATE(2019,12,31)),
   _xlfn.IFS(
      D10&lt;=1000000,0,
      D10&lt;=3000000,0.05*D10,
      D10&lt;=6000000,0.1*D10,
      D10&lt;=12000000,0.12*D10,
      D10&lt;=24000000,0.15*D10,
      D10&lt;=40000000,0.2*D10,
      D10&gt;40000000,0.24*D10
   ),
   IF(AND(A10&gt;=DATE(2020,1,1),A10&lt;=DATE(2023,12,31)),
      _xlfn.IFS(
         D10&lt;=1300000,0,
         D10&lt;=5000000,0.05*D10,
         D10&lt;=15000000,0.1*D10,
         D10&lt;=25000000,0.15*D10,
         D10&lt;=65000000,0.2*D10,
         D10&gt;65000000,0.25*D10
      ),
      "Out of range"
   )
)</f>
        <v>0</v>
      </c>
      <c r="F10" s="14"/>
      <c r="G10" s="14" cm="1">
        <f t="array" ref="G10">IF(AND(A10&gt;=DATE(2018,1,1),A10&lt;=DATE(2019,12,31)),
   _xlfn.IFS(
      F10&lt;=1000000,0,
      F10&lt;=3000000,0.05*F10,
      F10&lt;=6000000,0.1*F10,
      F10&lt;=12000000,0.12*F10,
      F10&lt;=24000000,0.15*F10,
      F10&lt;=40000000,0.2*F10,
      F10&gt;40000000,0.24*F10
   ),
   IF(AND(A10&gt;=DATE(2020,1,1),A10&lt;=DATE(2023,12,31)),
      _xlfn.IFS(
         F10&lt;=1300000,0,
         F10&lt;=5000000,0.05*F10,
         F10&lt;=15000000,0.1*F10,
         F10&lt;=25000000,0.15*F10,
         F10&lt;=65000000,0.2*F10,
         F10&gt;65000000,0.25*F10
      ),
      "Out of range"
   )
)</f>
        <v>0</v>
      </c>
      <c r="H10" s="14">
        <v>120000000</v>
      </c>
      <c r="I10" s="14" cm="1">
        <f t="array" ref="I10">IF(AND(A10&gt;=DATE(2018,1,1),A10&lt;=DATE(2019,12,31)),
   _xlfn.IFS(
      H10&lt;=1000000,0,
      H10&lt;=3000000,0.05*H10,
      H10&lt;=6000000,0.1*H10,
      H10&lt;=12000000,0.12*H10,
      H10&lt;=24000000,0.15*H10,
      H10&lt;=40000000,0.2*H10,
      H10&gt;40000000,0.24*H10
   ),
   IF(AND(A10&gt;=DATE(2020,1,1),A10&lt;=DATE(2023,12,31)),
      _xlfn.IFS(
         H10&lt;=1300000,0,
         H10&lt;=5000000,0.05*H10,
         H10&lt;=15000000,0.1*H10,
         H10&lt;=25000000,0.15*H10,
         H10&lt;=65000000,0.2*H10,
         H10&gt;65000000,0.25*H10
      ),
      "Out of range"
   )
)</f>
        <v>30000000</v>
      </c>
      <c r="J10" s="14"/>
      <c r="K10" s="14" cm="1">
        <f t="array" ref="K10">IF(AND(A10&gt;=DATE(2018,1,1),A10&lt;=DATE(2019,12,31)),
   _xlfn.IFS(
      J10&lt;=1000000,0,
      J10&lt;=3000000,0.05*J10,
      J10&lt;=6000000,0.1*J10,
      J10&lt;=12000000,0.12*J10,
      J10&lt;=24000000,0.15*J10,
      J10&lt;=40000000,0.2*J10,
      J10&gt;40000000,0.24*J10
   ),
   IF(AND(A10&gt;=DATE(2020,1,1),A10&lt;=DATE(2023,12,31)),
      _xlfn.IFS(
         J10&lt;=1300000,0,
         J10&lt;=5000000,0.05*J10,
         J10&lt;=15000000,0.1*J10,
         J10&lt;=25000000,0.15*J10,
         J10&lt;=65000000,0.2*J10,
         J10&gt;65000000,0.25*J10
      ),
      "Out of range"
   )
)</f>
        <v>0</v>
      </c>
      <c r="L10" s="14"/>
      <c r="M10" s="14" cm="1">
        <f t="array" ref="M10">IF(AND(A10&gt;=DATE(2018,1,1),A10&lt;=DATE(2019,12,31)),
   _xlfn.IFS(
      L10&lt;=1000000,0,
      L10&lt;=3000000,0.05*L10,
      L10&lt;=6000000,0.1*L10,
      L10&lt;=12000000,0.12*L10,
      L10&lt;=24000000,0.15*L10,
      L10&lt;=40000000,0.2*L10,
      L10&gt;40000000,0.24*L10
   ),
   IF(AND(A10&gt;=DATE(2020,1,1),A10&lt;=DATE(2023,12,31)),
      _xlfn.IFS(
         L10&lt;=1300000,0,
         L10&lt;=5000000,0.05*L10,
         L10&lt;=15000000,0.1*L10,
         L10&lt;=25000000,0.15*L10,
         L10&lt;=65000000,0.2*L10,
         L10&gt;65000000,0.25*L10
      ),
      "Out of range"
   )
)</f>
        <v>0</v>
      </c>
      <c r="N10" s="14"/>
      <c r="O10" s="14" cm="1">
        <f t="array" ref="O10">IF(AND(A10&gt;=DATE(2018,1,1),A10&lt;=DATE(2019,12,31)),
   _xlfn.IFS(
      N10&lt;=1000000,0,
      N10&lt;=3000000,0.05*N10,
      N10&lt;=6000000,0.1*N10,
      N10&lt;=12000000,0.12*N10,
      N10&lt;=24000000,0.15*N10,
      N10&lt;=40000000,0.2*N10,
      N10&gt;40000000,0.24*N10
   ),
   IF(AND(A10&gt;=DATE(2020,1,1),A10&lt;=DATE(2023,12,31)),
      _xlfn.IFS(
         N10&lt;=1300000,0,
         N10&lt;=5000000,0.05*N10,
         N10&lt;=15000000,0.1*N10,
         N10&lt;=25000000,0.15*N10,
         N10&lt;=65000000,0.2*N10,
         N10&gt;65000000,0.25*N10
      ),
      "Out of range"
   )
)</f>
        <v>0</v>
      </c>
      <c r="P10" s="14"/>
      <c r="Q10" s="14"/>
      <c r="R10" s="14">
        <f t="shared" si="0"/>
        <v>0</v>
      </c>
      <c r="S10" s="14"/>
      <c r="T10" s="14">
        <f t="shared" si="1"/>
        <v>0</v>
      </c>
      <c r="U10" s="14"/>
      <c r="V10" s="14"/>
      <c r="W10" s="14">
        <f t="shared" si="2"/>
        <v>0</v>
      </c>
      <c r="X10" s="14"/>
      <c r="Y10" s="14">
        <f t="shared" si="3"/>
        <v>0</v>
      </c>
      <c r="Z10" s="14"/>
      <c r="AA10" s="14">
        <f t="shared" si="4"/>
        <v>0</v>
      </c>
      <c r="AB10" s="28"/>
      <c r="AC10" s="15">
        <f t="shared" si="5"/>
        <v>30000000</v>
      </c>
      <c r="AD10" s="23" t="str">
        <f t="shared" si="6"/>
        <v/>
      </c>
      <c r="AE10" s="23" t="str">
        <f t="shared" si="7"/>
        <v/>
      </c>
      <c r="AF10" s="23">
        <f t="shared" si="8"/>
        <v>23</v>
      </c>
      <c r="AG10" s="23" t="str">
        <f t="shared" si="9"/>
        <v/>
      </c>
      <c r="AH10" s="23" t="str">
        <f t="shared" si="10"/>
        <v/>
      </c>
      <c r="AI10" s="23" t="str">
        <f t="shared" si="11"/>
        <v/>
      </c>
      <c r="AJ10" s="23" t="str">
        <f t="shared" si="12"/>
        <v/>
      </c>
      <c r="AK10" s="23" t="str">
        <f t="shared" si="13"/>
        <v/>
      </c>
      <c r="AL10" s="23" t="str">
        <f t="shared" si="14"/>
        <v/>
      </c>
      <c r="AM10" s="23" t="str">
        <f t="shared" si="15"/>
        <v/>
      </c>
      <c r="AN10" s="24" t="str">
        <f>IF(COUNTA(AD10:AM10)&gt;0, _xlfn.TEXTJOIN(", ", TRUE, AD10:AM10), "")</f>
        <v>23</v>
      </c>
      <c r="AO10" s="7">
        <f>AC10</f>
        <v>30000000</v>
      </c>
    </row>
    <row r="11" spans="1:41" ht="20" customHeight="1" x14ac:dyDescent="0.2">
      <c r="A11" s="12">
        <v>44936</v>
      </c>
      <c r="B11" s="13" t="s">
        <v>35</v>
      </c>
      <c r="C11" s="13" t="s">
        <v>36</v>
      </c>
      <c r="D11" s="16"/>
      <c r="E11" s="14" cm="1">
        <f t="array" ref="E11">IF(AND(A11&gt;=DATE(2018,1,1),A11&lt;=DATE(2019,12,31)),
   _xlfn.IFS(
      D11&lt;=1000000,0,
      D11&lt;=3000000,0.05*D11,
      D11&lt;=6000000,0.1*D11,
      D11&lt;=12000000,0.12*D11,
      D11&lt;=24000000,0.15*D11,
      D11&lt;=40000000,0.2*D11,
      D11&gt;40000000,0.24*D11
   ),
   IF(AND(A11&gt;=DATE(2020,1,1),A11&lt;=DATE(2023,12,31)),
      _xlfn.IFS(
         D11&lt;=1300000,0,
         D11&lt;=5000000,0.05*D11,
         D11&lt;=15000000,0.1*D11,
         D11&lt;=25000000,0.15*D11,
         D11&lt;=65000000,0.2*D11,
         D11&gt;65000000,0.25*D11
      ),
      "Out of range"
   )
)</f>
        <v>0</v>
      </c>
      <c r="F11" s="14"/>
      <c r="G11" s="14" cm="1">
        <f t="array" ref="G11">IF(AND(A11&gt;=DATE(2018,1,1),A11&lt;=DATE(2019,12,31)),
   _xlfn.IFS(
      F11&lt;=1000000,0,
      F11&lt;=3000000,0.05*F11,
      F11&lt;=6000000,0.1*F11,
      F11&lt;=12000000,0.12*F11,
      F11&lt;=24000000,0.15*F11,
      F11&lt;=40000000,0.2*F11,
      F11&gt;40000000,0.24*F11
   ),
   IF(AND(A11&gt;=DATE(2020,1,1),A11&lt;=DATE(2023,12,31)),
      _xlfn.IFS(
         F11&lt;=1300000,0,
         F11&lt;=5000000,0.05*F11,
         F11&lt;=15000000,0.1*F11,
         F11&lt;=25000000,0.15*F11,
         F11&lt;=65000000,0.2*F11,
         F11&gt;65000000,0.25*F11
      ),
      "Out of range"
   )
)</f>
        <v>0</v>
      </c>
      <c r="H11" s="14"/>
      <c r="I11" s="14" cm="1">
        <f t="array" ref="I11">IF(AND(A11&gt;=DATE(2018,1,1),A11&lt;=DATE(2019,12,31)),
   _xlfn.IFS(
      H11&lt;=1000000,0,
      H11&lt;=3000000,0.05*H11,
      H11&lt;=6000000,0.1*H11,
      H11&lt;=12000000,0.12*H11,
      H11&lt;=24000000,0.15*H11,
      H11&lt;=40000000,0.2*H11,
      H11&gt;40000000,0.24*H11
   ),
   IF(AND(A11&gt;=DATE(2020,1,1),A11&lt;=DATE(2023,12,31)),
      _xlfn.IFS(
         H11&lt;=1300000,0,
         H11&lt;=5000000,0.05*H11,
         H11&lt;=15000000,0.1*H11,
         H11&lt;=25000000,0.15*H11,
         H11&lt;=65000000,0.2*H11,
         H11&gt;65000000,0.25*H11
      ),
      "Out of range"
   )
)</f>
        <v>0</v>
      </c>
      <c r="J11" s="14"/>
      <c r="K11" s="14" cm="1">
        <f t="array" ref="K11">IF(AND(A11&gt;=DATE(2018,1,1),A11&lt;=DATE(2019,12,31)),
   _xlfn.IFS(
      J11&lt;=1000000,0,
      J11&lt;=3000000,0.05*J11,
      J11&lt;=6000000,0.1*J11,
      J11&lt;=12000000,0.12*J11,
      J11&lt;=24000000,0.15*J11,
      J11&lt;=40000000,0.2*J11,
      J11&gt;40000000,0.24*J11
   ),
   IF(AND(A11&gt;=DATE(2020,1,1),A11&lt;=DATE(2023,12,31)),
      _xlfn.IFS(
         J11&lt;=1300000,0,
         J11&lt;=5000000,0.05*J11,
         J11&lt;=15000000,0.1*J11,
         J11&lt;=25000000,0.15*J11,
         J11&lt;=65000000,0.2*J11,
         J11&gt;65000000,0.25*J11
      ),
      "Out of range"
   )
)</f>
        <v>0</v>
      </c>
      <c r="L11" s="14">
        <v>5000000</v>
      </c>
      <c r="M11" s="14" cm="1">
        <f t="array" ref="M11">IF(AND(A11&gt;=DATE(2018,1,1),A11&lt;=DATE(2019,12,31)),
   _xlfn.IFS(
      L11&lt;=1000000,0,
      L11&lt;=3000000,0.05*L11,
      L11&lt;=6000000,0.1*L11,
      L11&lt;=12000000,0.12*L11,
      L11&lt;=24000000,0.15*L11,
      L11&lt;=40000000,0.2*L11,
      L11&gt;40000000,0.24*L11
   ),
   IF(AND(A11&gt;=DATE(2020,1,1),A11&lt;=DATE(2023,12,31)),
      _xlfn.IFS(
         L11&lt;=1300000,0,
         L11&lt;=5000000,0.05*L11,
         L11&lt;=15000000,0.1*L11,
         L11&lt;=25000000,0.15*L11,
         L11&lt;=65000000,0.2*L11,
         L11&gt;65000000,0.25*L11
      ),
      "Out of range"
   )
)</f>
        <v>250000</v>
      </c>
      <c r="N11" s="14"/>
      <c r="O11" s="14" cm="1">
        <f t="array" ref="O11">IF(AND(A11&gt;=DATE(2018,1,1),A11&lt;=DATE(2019,12,31)),
   _xlfn.IFS(
      N11&lt;=1000000,0,
      N11&lt;=3000000,0.05*N11,
      N11&lt;=6000000,0.1*N11,
      N11&lt;=12000000,0.12*N11,
      N11&lt;=24000000,0.15*N11,
      N11&lt;=40000000,0.2*N11,
      N11&gt;40000000,0.24*N11
   ),
   IF(AND(A11&gt;=DATE(2020,1,1),A11&lt;=DATE(2023,12,31)),
      _xlfn.IFS(
         N11&lt;=1300000,0,
         N11&lt;=5000000,0.05*N11,
         N11&lt;=15000000,0.1*N11,
         N11&lt;=25000000,0.15*N11,
         N11&lt;=65000000,0.2*N11,
         N11&gt;65000000,0.25*N11
      ),
      "Out of range"
   )
)</f>
        <v>0</v>
      </c>
      <c r="P11" s="14"/>
      <c r="Q11" s="14"/>
      <c r="R11" s="14">
        <f t="shared" si="0"/>
        <v>0</v>
      </c>
      <c r="S11" s="14"/>
      <c r="T11" s="14">
        <f t="shared" si="1"/>
        <v>0</v>
      </c>
      <c r="U11" s="14"/>
      <c r="V11" s="14"/>
      <c r="W11" s="14">
        <f t="shared" si="2"/>
        <v>0</v>
      </c>
      <c r="X11" s="14"/>
      <c r="Y11" s="14">
        <f t="shared" si="3"/>
        <v>0</v>
      </c>
      <c r="Z11" s="14"/>
      <c r="AA11" s="14">
        <f t="shared" si="4"/>
        <v>0</v>
      </c>
      <c r="AB11" s="28"/>
      <c r="AC11" s="15">
        <f t="shared" si="5"/>
        <v>250000</v>
      </c>
      <c r="AD11" s="23" t="str">
        <f t="shared" si="6"/>
        <v/>
      </c>
      <c r="AE11" s="23" t="str">
        <f t="shared" si="7"/>
        <v/>
      </c>
      <c r="AF11" s="23" t="str">
        <f t="shared" si="8"/>
        <v/>
      </c>
      <c r="AG11" s="23">
        <f t="shared" si="9"/>
        <v>24</v>
      </c>
      <c r="AH11" s="23" t="str">
        <f t="shared" si="10"/>
        <v/>
      </c>
      <c r="AI11" s="23" t="str">
        <f t="shared" si="11"/>
        <v/>
      </c>
      <c r="AJ11" s="23" t="str">
        <f t="shared" si="12"/>
        <v/>
      </c>
      <c r="AK11" s="23" t="str">
        <f t="shared" si="13"/>
        <v/>
      </c>
      <c r="AL11" s="23" t="str">
        <f t="shared" si="14"/>
        <v/>
      </c>
      <c r="AM11" s="23" t="str">
        <f t="shared" si="15"/>
        <v/>
      </c>
      <c r="AN11" s="24" t="str">
        <f>IF(COUNTA(AD11:AM11)&gt;0, _xlfn.TEXTJOIN(", ", TRUE, AD11:AM11), "")</f>
        <v>24</v>
      </c>
      <c r="AO11" s="7">
        <f>AC11</f>
        <v>250000</v>
      </c>
    </row>
    <row r="12" spans="1:41" ht="20" customHeight="1" x14ac:dyDescent="0.2">
      <c r="A12" s="12">
        <v>44572</v>
      </c>
      <c r="B12" s="13" t="s">
        <v>37</v>
      </c>
      <c r="C12" s="13" t="s">
        <v>38</v>
      </c>
      <c r="D12" s="16"/>
      <c r="E12" s="14" cm="1">
        <f t="array" ref="E12">IF(AND(A12&gt;=DATE(2018,1,1),A12&lt;=DATE(2019,12,31)),
   _xlfn.IFS(
      D12&lt;=1000000,0,
      D12&lt;=3000000,0.05*D12,
      D12&lt;=6000000,0.1*D12,
      D12&lt;=12000000,0.12*D12,
      D12&lt;=24000000,0.15*D12,
      D12&lt;=40000000,0.2*D12,
      D12&gt;40000000,0.24*D12
   ),
   IF(AND(A12&gt;=DATE(2020,1,1),A12&lt;=DATE(2023,12,31)),
      _xlfn.IFS(
         D12&lt;=1300000,0,
         D12&lt;=5000000,0.05*D12,
         D12&lt;=15000000,0.1*D12,
         D12&lt;=25000000,0.15*D12,
         D12&lt;=65000000,0.2*D12,
         D12&gt;65000000,0.25*D12
      ),
      "Out of range"
   )
)</f>
        <v>0</v>
      </c>
      <c r="F12" s="14"/>
      <c r="G12" s="14" cm="1">
        <f t="array" ref="G12">IF(AND(A12&gt;=DATE(2018,1,1),A12&lt;=DATE(2019,12,31)),
   _xlfn.IFS(
      F12&lt;=1000000,0,
      F12&lt;=3000000,0.05*F12,
      F12&lt;=6000000,0.1*F12,
      F12&lt;=12000000,0.12*F12,
      F12&lt;=24000000,0.15*F12,
      F12&lt;=40000000,0.2*F12,
      F12&gt;40000000,0.24*F12
   ),
   IF(AND(A12&gt;=DATE(2020,1,1),A12&lt;=DATE(2023,12,31)),
      _xlfn.IFS(
         F12&lt;=1300000,0,
         F12&lt;=5000000,0.05*F12,
         F12&lt;=15000000,0.1*F12,
         F12&lt;=25000000,0.15*F12,
         F12&lt;=65000000,0.2*F12,
         F12&gt;65000000,0.25*F12
      ),
      "Out of range"
   )
)</f>
        <v>0</v>
      </c>
      <c r="H12" s="14"/>
      <c r="I12" s="14" cm="1">
        <f t="array" ref="I12">IF(AND(A12&gt;=DATE(2018,1,1),A12&lt;=DATE(2019,12,31)),
   _xlfn.IFS(
      H12&lt;=1000000,0,
      H12&lt;=3000000,0.05*H12,
      H12&lt;=6000000,0.1*H12,
      H12&lt;=12000000,0.12*H12,
      H12&lt;=24000000,0.15*H12,
      H12&lt;=40000000,0.2*H12,
      H12&gt;40000000,0.24*H12
   ),
   IF(AND(A12&gt;=DATE(2020,1,1),A12&lt;=DATE(2023,12,31)),
      _xlfn.IFS(
         H12&lt;=1300000,0,
         H12&lt;=5000000,0.05*H12,
         H12&lt;=15000000,0.1*H12,
         H12&lt;=25000000,0.15*H12,
         H12&lt;=65000000,0.2*H12,
         H12&gt;65000000,0.25*H12
      ),
      "Out of range"
   )
)</f>
        <v>0</v>
      </c>
      <c r="J12" s="14"/>
      <c r="K12" s="14" cm="1">
        <f t="array" ref="K12">IF(AND(A12&gt;=DATE(2018,1,1),A12&lt;=DATE(2019,12,31)),
   _xlfn.IFS(
      J12&lt;=1000000,0,
      J12&lt;=3000000,0.05*J12,
      J12&lt;=6000000,0.1*J12,
      J12&lt;=12000000,0.12*J12,
      J12&lt;=24000000,0.15*J12,
      J12&lt;=40000000,0.2*J12,
      J12&gt;40000000,0.24*J12
   ),
   IF(AND(A12&gt;=DATE(2020,1,1),A12&lt;=DATE(2023,12,31)),
      _xlfn.IFS(
         J12&lt;=1300000,0,
         J12&lt;=5000000,0.05*J12,
         J12&lt;=15000000,0.1*J12,
         J12&lt;=25000000,0.15*J12,
         J12&lt;=65000000,0.2*J12,
         J12&gt;65000000,0.25*J12
      ),
      "Out of range"
   )
)</f>
        <v>0</v>
      </c>
      <c r="L12" s="14"/>
      <c r="M12" s="14" cm="1">
        <f t="array" ref="M12">IF(AND(A12&gt;=DATE(2018,1,1),A12&lt;=DATE(2019,12,31)),
   _xlfn.IFS(
      L12&lt;=1000000,0,
      L12&lt;=3000000,0.05*L12,
      L12&lt;=6000000,0.1*L12,
      L12&lt;=12000000,0.12*L12,
      L12&lt;=24000000,0.15*L12,
      L12&lt;=40000000,0.2*L12,
      L12&gt;40000000,0.24*L12
   ),
   IF(AND(A12&gt;=DATE(2020,1,1),A12&lt;=DATE(2023,12,31)),
      _xlfn.IFS(
         L12&lt;=1300000,0,
         L12&lt;=5000000,0.05*L12,
         L12&lt;=15000000,0.1*L12,
         L12&lt;=25000000,0.15*L12,
         L12&lt;=65000000,0.2*L12,
         L12&gt;65000000,0.25*L12
      ),
      "Out of range"
   )
)</f>
        <v>0</v>
      </c>
      <c r="N12" s="14">
        <v>750000</v>
      </c>
      <c r="O12" s="14" cm="1">
        <f t="array" ref="O12">IF(AND(A12&gt;=DATE(2018,1,1),A12&lt;=DATE(2019,12,31)),
   _xlfn.IFS(
      N12&lt;=1000000,0,
      N12&lt;=3000000,0.05*N12,
      N12&lt;=6000000,0.1*N12,
      N12&lt;=12000000,0.12*N12,
      N12&lt;=24000000,0.15*N12,
      N12&lt;=40000000,0.2*N12,
      N12&gt;40000000,0.24*N12
   ),
   IF(AND(A12&gt;=DATE(2020,1,1),A12&lt;=DATE(2023,12,31)),
      _xlfn.IFS(
         N12&lt;=1300000,0,
         N12&lt;=5000000,0.05*N12,
         N12&lt;=15000000,0.1*N12,
         N12&lt;=25000000,0.15*N12,
         N12&lt;=65000000,0.2*N12,
         N12&gt;65000000,0.25*N12
      ),
      "Out of range"
   )
)</f>
        <v>0</v>
      </c>
      <c r="P12" s="14"/>
      <c r="Q12" s="14"/>
      <c r="R12" s="14">
        <f t="shared" si="0"/>
        <v>0</v>
      </c>
      <c r="S12" s="14"/>
      <c r="T12" s="14">
        <f t="shared" si="1"/>
        <v>0</v>
      </c>
      <c r="U12" s="14"/>
      <c r="V12" s="14"/>
      <c r="W12" s="14">
        <f t="shared" si="2"/>
        <v>0</v>
      </c>
      <c r="X12" s="14"/>
      <c r="Y12" s="14">
        <f t="shared" si="3"/>
        <v>0</v>
      </c>
      <c r="Z12" s="14"/>
      <c r="AA12" s="14">
        <f t="shared" si="4"/>
        <v>0</v>
      </c>
      <c r="AB12" s="28"/>
      <c r="AC12" s="15">
        <f t="shared" si="5"/>
        <v>0</v>
      </c>
      <c r="AD12" s="23" t="str">
        <f t="shared" si="6"/>
        <v/>
      </c>
      <c r="AE12" s="23" t="str">
        <f t="shared" si="7"/>
        <v/>
      </c>
      <c r="AF12" s="23" t="str">
        <f t="shared" si="8"/>
        <v/>
      </c>
      <c r="AG12" s="23" t="str">
        <f t="shared" si="9"/>
        <v/>
      </c>
      <c r="AH12" s="23" t="str">
        <f t="shared" si="10"/>
        <v/>
      </c>
      <c r="AI12" s="23" t="str">
        <f t="shared" si="11"/>
        <v/>
      </c>
      <c r="AJ12" s="23" t="str">
        <f t="shared" si="12"/>
        <v/>
      </c>
      <c r="AK12" s="23" t="str">
        <f t="shared" si="13"/>
        <v/>
      </c>
      <c r="AL12" s="23" t="str">
        <f t="shared" si="14"/>
        <v/>
      </c>
      <c r="AM12" s="23" t="str">
        <f t="shared" si="15"/>
        <v/>
      </c>
      <c r="AN12" s="24" t="str">
        <f>IF(COUNTA(AD12:AM12)&gt;0, _xlfn.TEXTJOIN(", ", TRUE, AD12:AM12), "")</f>
        <v/>
      </c>
      <c r="AO12" s="7">
        <f>AC12</f>
        <v>0</v>
      </c>
    </row>
    <row r="13" spans="1:41" ht="12.75" customHeight="1" x14ac:dyDescent="0.2">
      <c r="A13" s="8"/>
      <c r="B13" s="17"/>
      <c r="C13" s="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25"/>
      <c r="AO13" s="11"/>
    </row>
    <row r="14" spans="1:41" ht="12.75" customHeight="1" x14ac:dyDescent="0.2">
      <c r="A14" s="8"/>
      <c r="B14" s="17"/>
      <c r="C14" s="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8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25"/>
      <c r="AO14" s="11"/>
    </row>
    <row r="15" spans="1:41" ht="12.75" customHeight="1" x14ac:dyDescent="0.2">
      <c r="A15" s="8"/>
      <c r="B15" s="17"/>
      <c r="C15" s="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8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25"/>
      <c r="AO15" s="11"/>
    </row>
    <row r="16" spans="1:41" ht="12.75" customHeight="1" x14ac:dyDescent="0.2">
      <c r="A16" s="8"/>
      <c r="B16" s="17"/>
      <c r="C16" s="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8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25"/>
      <c r="AO16" s="11"/>
    </row>
    <row r="17" spans="1:41" ht="12.75" customHeight="1" x14ac:dyDescent="0.2">
      <c r="A17" s="8"/>
      <c r="B17" s="17"/>
      <c r="C17" s="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8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25"/>
      <c r="AO17" s="11"/>
    </row>
    <row r="18" spans="1:41" ht="12.75" customHeight="1" x14ac:dyDescent="0.2">
      <c r="A18" s="8"/>
      <c r="B18" s="17"/>
      <c r="C18" s="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8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9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25"/>
      <c r="AO18" s="11"/>
    </row>
    <row r="19" spans="1:41" ht="12.75" customHeight="1" x14ac:dyDescent="0.2">
      <c r="A19" s="8"/>
      <c r="B19" s="17"/>
      <c r="C19" s="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9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25"/>
      <c r="AO19" s="11"/>
    </row>
    <row r="20" spans="1:41" ht="12.75" customHeight="1" x14ac:dyDescent="0.2">
      <c r="A20" s="8"/>
      <c r="B20" s="17"/>
      <c r="C20" s="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8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25"/>
      <c r="AO20" s="11"/>
    </row>
    <row r="21" spans="1:41" ht="12.75" customHeight="1" x14ac:dyDescent="0.2">
      <c r="A21" s="8"/>
      <c r="B21" s="17"/>
      <c r="C21" s="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8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25"/>
      <c r="AO21" s="11"/>
    </row>
    <row r="22" spans="1:41" ht="12.75" customHeight="1" x14ac:dyDescent="0.2">
      <c r="A22" s="8"/>
      <c r="B22" s="17"/>
      <c r="C22" s="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8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25"/>
      <c r="AO22" s="11"/>
    </row>
    <row r="23" spans="1:41" ht="12.75" customHeight="1" x14ac:dyDescent="0.2">
      <c r="A23" s="8"/>
      <c r="B23" s="17"/>
      <c r="C23" s="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8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25"/>
      <c r="AO23" s="11"/>
    </row>
    <row r="24" spans="1:41" ht="12.75" customHeight="1" x14ac:dyDescent="0.2">
      <c r="A24" s="8"/>
      <c r="B24" s="17"/>
      <c r="C24" s="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8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25"/>
      <c r="AO24" s="11"/>
    </row>
    <row r="25" spans="1:41" ht="12.75" customHeight="1" x14ac:dyDescent="0.2">
      <c r="A25" s="8"/>
      <c r="B25" s="17"/>
      <c r="C25" s="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8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25"/>
      <c r="AO25" s="11"/>
    </row>
    <row r="26" spans="1:41" ht="12.75" customHeight="1" x14ac:dyDescent="0.2">
      <c r="A26" s="8"/>
      <c r="B26" s="17"/>
      <c r="C26" s="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8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25"/>
      <c r="AO26" s="11"/>
    </row>
    <row r="27" spans="1:41" ht="12.75" customHeight="1" x14ac:dyDescent="0.2">
      <c r="A27" s="8"/>
      <c r="B27" s="17"/>
      <c r="C27" s="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8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25"/>
      <c r="AO27" s="11"/>
    </row>
    <row r="28" spans="1:41" ht="12.75" customHeight="1" x14ac:dyDescent="0.2">
      <c r="A28" s="8"/>
      <c r="B28" s="17"/>
      <c r="C28" s="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8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25"/>
      <c r="AO28" s="11"/>
    </row>
    <row r="29" spans="1:41" ht="12.75" customHeight="1" x14ac:dyDescent="0.2">
      <c r="A29" s="8"/>
      <c r="B29" s="17"/>
      <c r="C29" s="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8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25"/>
      <c r="AO29" s="11"/>
    </row>
    <row r="30" spans="1:41" ht="12.75" customHeight="1" x14ac:dyDescent="0.2">
      <c r="A30" s="8"/>
      <c r="B30" s="17"/>
      <c r="C30" s="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8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25"/>
      <c r="AO30" s="11"/>
    </row>
    <row r="31" spans="1:41" ht="12.75" customHeight="1" x14ac:dyDescent="0.2">
      <c r="A31" s="8"/>
      <c r="B31" s="17"/>
      <c r="C31" s="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8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25"/>
      <c r="AO31" s="11"/>
    </row>
    <row r="32" spans="1:41" ht="12.75" customHeight="1" x14ac:dyDescent="0.2">
      <c r="A32" s="8"/>
      <c r="B32" s="17"/>
      <c r="C32" s="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8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25"/>
      <c r="AO32" s="11"/>
    </row>
    <row r="33" spans="1:41" ht="12.75" customHeight="1" x14ac:dyDescent="0.2">
      <c r="A33" s="8"/>
      <c r="B33" s="17"/>
      <c r="C33" s="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18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25"/>
      <c r="AO33" s="11"/>
    </row>
    <row r="34" spans="1:41" ht="12.75" customHeight="1" x14ac:dyDescent="0.2">
      <c r="A34" s="8"/>
      <c r="B34" s="17"/>
      <c r="C34" s="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8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25"/>
      <c r="AO34" s="11"/>
    </row>
    <row r="35" spans="1:41" ht="12.75" customHeight="1" x14ac:dyDescent="0.2">
      <c r="A35" s="8"/>
      <c r="B35" s="17"/>
      <c r="C35" s="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8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25"/>
      <c r="AO35" s="11"/>
    </row>
    <row r="36" spans="1:41" ht="12.75" customHeight="1" x14ac:dyDescent="0.2">
      <c r="A36" s="8"/>
      <c r="B36" s="17"/>
      <c r="C36" s="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8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25"/>
      <c r="AO36" s="11"/>
    </row>
    <row r="37" spans="1:41" ht="12.75" customHeight="1" x14ac:dyDescent="0.2">
      <c r="A37" s="8"/>
      <c r="B37" s="17"/>
      <c r="C37" s="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8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25"/>
      <c r="AO37" s="11"/>
    </row>
    <row r="38" spans="1:41" ht="12.75" customHeight="1" x14ac:dyDescent="0.2">
      <c r="A38" s="8"/>
      <c r="B38" s="17"/>
      <c r="C38" s="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25"/>
      <c r="AO38" s="11"/>
    </row>
    <row r="39" spans="1:41" ht="12.75" customHeight="1" x14ac:dyDescent="0.2">
      <c r="A39" s="8"/>
      <c r="B39" s="17"/>
      <c r="C39" s="8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25"/>
      <c r="AO39" s="11"/>
    </row>
    <row r="40" spans="1:41" ht="12.75" customHeight="1" x14ac:dyDescent="0.2">
      <c r="A40" s="8"/>
      <c r="B40" s="17"/>
      <c r="C40" s="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25"/>
      <c r="AO40" s="11"/>
    </row>
    <row r="41" spans="1:41" ht="12.75" customHeight="1" x14ac:dyDescent="0.2">
      <c r="A41" s="8"/>
      <c r="B41" s="17"/>
      <c r="C41" s="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1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25"/>
      <c r="AO41" s="11"/>
    </row>
    <row r="42" spans="1:41" ht="12.75" customHeight="1" x14ac:dyDescent="0.2">
      <c r="A42" s="8"/>
      <c r="B42" s="17"/>
      <c r="C42" s="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25"/>
      <c r="AO42" s="11"/>
    </row>
    <row r="43" spans="1:41" ht="12.75" customHeight="1" x14ac:dyDescent="0.2">
      <c r="A43" s="8"/>
      <c r="B43" s="17"/>
      <c r="C43" s="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25"/>
      <c r="AO43" s="11"/>
    </row>
    <row r="44" spans="1:41" ht="12.75" customHeight="1" x14ac:dyDescent="0.2">
      <c r="A44" s="8"/>
      <c r="B44" s="17"/>
      <c r="C44" s="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25"/>
      <c r="AO44" s="11"/>
    </row>
    <row r="45" spans="1:41" ht="12.75" customHeight="1" x14ac:dyDescent="0.2">
      <c r="A45" s="8"/>
      <c r="B45" s="17"/>
      <c r="C45" s="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1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25"/>
      <c r="AO45" s="11"/>
    </row>
    <row r="46" spans="1:41" ht="12.75" customHeight="1" x14ac:dyDescent="0.2">
      <c r="A46" s="8"/>
      <c r="B46" s="17"/>
      <c r="C46" s="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25"/>
      <c r="AO46" s="11"/>
    </row>
    <row r="47" spans="1:41" ht="12.75" customHeight="1" x14ac:dyDescent="0.2">
      <c r="A47" s="8"/>
      <c r="B47" s="17"/>
      <c r="C47" s="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25"/>
      <c r="AO47" s="11"/>
    </row>
    <row r="48" spans="1:41" ht="12.75" customHeight="1" x14ac:dyDescent="0.2">
      <c r="A48" s="8"/>
      <c r="B48" s="17"/>
      <c r="C48" s="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25"/>
      <c r="AO48" s="11"/>
    </row>
    <row r="49" spans="1:41" ht="12.75" customHeight="1" x14ac:dyDescent="0.2">
      <c r="A49" s="8"/>
      <c r="B49" s="17"/>
      <c r="C49" s="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1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25"/>
      <c r="AO49" s="11"/>
    </row>
    <row r="50" spans="1:41" ht="12.75" customHeight="1" x14ac:dyDescent="0.2">
      <c r="A50" s="8"/>
      <c r="B50" s="17"/>
      <c r="C50" s="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8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25"/>
      <c r="AO50" s="11"/>
    </row>
    <row r="51" spans="1:41" ht="12.75" customHeight="1" x14ac:dyDescent="0.2">
      <c r="A51" s="8"/>
      <c r="B51" s="17"/>
      <c r="C51" s="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8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25"/>
      <c r="AO51" s="11"/>
    </row>
    <row r="52" spans="1:41" ht="12.75" customHeight="1" x14ac:dyDescent="0.2">
      <c r="A52" s="8"/>
      <c r="B52" s="17"/>
      <c r="C52" s="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8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25"/>
      <c r="AO52" s="11"/>
    </row>
    <row r="53" spans="1:41" ht="12.75" customHeight="1" x14ac:dyDescent="0.2">
      <c r="A53" s="8"/>
      <c r="B53" s="17"/>
      <c r="C53" s="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18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25"/>
      <c r="AO53" s="11"/>
    </row>
    <row r="54" spans="1:41" ht="12.75" customHeight="1" x14ac:dyDescent="0.2">
      <c r="A54" s="8"/>
      <c r="B54" s="17"/>
      <c r="C54" s="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8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25"/>
      <c r="AO54" s="11"/>
    </row>
    <row r="55" spans="1:41" ht="12.75" customHeight="1" x14ac:dyDescent="0.2">
      <c r="A55" s="8"/>
      <c r="B55" s="17"/>
      <c r="C55" s="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8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25"/>
      <c r="AO55" s="11"/>
    </row>
    <row r="56" spans="1:41" ht="12.75" customHeight="1" x14ac:dyDescent="0.2">
      <c r="A56" s="8"/>
      <c r="B56" s="17"/>
      <c r="C56" s="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8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25"/>
      <c r="AO56" s="11"/>
    </row>
    <row r="57" spans="1:41" ht="12.75" customHeight="1" x14ac:dyDescent="0.2">
      <c r="A57" s="8"/>
      <c r="B57" s="17"/>
      <c r="C57" s="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8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25"/>
      <c r="AO57" s="11"/>
    </row>
    <row r="58" spans="1:41" ht="12.75" customHeight="1" x14ac:dyDescent="0.2">
      <c r="A58" s="8"/>
      <c r="B58" s="17"/>
      <c r="C58" s="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8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25"/>
      <c r="AO58" s="11"/>
    </row>
    <row r="59" spans="1:41" ht="12.75" customHeight="1" x14ac:dyDescent="0.2">
      <c r="A59" s="8"/>
      <c r="B59" s="17"/>
      <c r="C59" s="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  <c r="O59" s="18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25"/>
      <c r="AO59" s="11"/>
    </row>
    <row r="60" spans="1:41" ht="12.75" customHeight="1" x14ac:dyDescent="0.2">
      <c r="A60" s="8"/>
      <c r="B60" s="17"/>
      <c r="C60" s="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  <c r="O60" s="18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25"/>
      <c r="AO60" s="11"/>
    </row>
    <row r="61" spans="1:41" ht="12.75" customHeight="1" x14ac:dyDescent="0.2">
      <c r="A61" s="8"/>
      <c r="B61" s="17"/>
      <c r="C61" s="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8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25"/>
      <c r="AO61" s="11"/>
    </row>
    <row r="62" spans="1:41" ht="12.75" customHeight="1" x14ac:dyDescent="0.2">
      <c r="A62" s="8"/>
      <c r="B62" s="17"/>
      <c r="C62" s="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  <c r="O62" s="18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25"/>
      <c r="AO62" s="11"/>
    </row>
    <row r="63" spans="1:41" ht="12.75" customHeight="1" x14ac:dyDescent="0.2">
      <c r="A63" s="8"/>
      <c r="B63" s="17"/>
      <c r="C63" s="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  <c r="O63" s="18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25"/>
      <c r="AO63" s="11"/>
    </row>
    <row r="64" spans="1:41" ht="12.75" customHeight="1" x14ac:dyDescent="0.2">
      <c r="A64" s="8"/>
      <c r="B64" s="17"/>
      <c r="C64" s="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8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25"/>
      <c r="AO64" s="11"/>
    </row>
    <row r="65" spans="1:41" ht="12.75" customHeight="1" x14ac:dyDescent="0.2">
      <c r="A65" s="8"/>
      <c r="B65" s="17"/>
      <c r="C65" s="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  <c r="O65" s="18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25"/>
      <c r="AO65" s="11"/>
    </row>
    <row r="66" spans="1:41" ht="12.75" customHeight="1" x14ac:dyDescent="0.2">
      <c r="A66" s="8"/>
      <c r="B66" s="17"/>
      <c r="C66" s="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/>
      <c r="O66" s="18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25"/>
      <c r="AO66" s="11"/>
    </row>
    <row r="67" spans="1:41" ht="12.75" customHeight="1" x14ac:dyDescent="0.2">
      <c r="A67" s="8"/>
      <c r="B67" s="17"/>
      <c r="C67" s="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8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25"/>
      <c r="AO67" s="11"/>
    </row>
    <row r="68" spans="1:41" ht="12.75" customHeight="1" x14ac:dyDescent="0.2">
      <c r="A68" s="8"/>
      <c r="B68" s="17"/>
      <c r="C68" s="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8"/>
      <c r="O68" s="18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25"/>
      <c r="AO68" s="11"/>
    </row>
    <row r="69" spans="1:41" ht="12.75" customHeight="1" x14ac:dyDescent="0.2">
      <c r="A69" s="8"/>
      <c r="B69" s="17"/>
      <c r="C69" s="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  <c r="O69" s="18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25"/>
      <c r="AO69" s="11"/>
    </row>
    <row r="70" spans="1:41" ht="12.75" customHeight="1" x14ac:dyDescent="0.2">
      <c r="A70" s="8"/>
      <c r="B70" s="17"/>
      <c r="C70" s="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8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25"/>
      <c r="AO70" s="11"/>
    </row>
    <row r="71" spans="1:41" ht="12.75" customHeight="1" x14ac:dyDescent="0.2">
      <c r="A71" s="8"/>
      <c r="B71" s="17"/>
      <c r="C71" s="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  <c r="O71" s="18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25"/>
      <c r="AO71" s="11"/>
    </row>
    <row r="72" spans="1:41" ht="12.75" customHeight="1" x14ac:dyDescent="0.2">
      <c r="A72" s="8"/>
      <c r="B72" s="17"/>
      <c r="C72" s="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  <c r="O72" s="18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25"/>
      <c r="AO72" s="11"/>
    </row>
    <row r="73" spans="1:41" ht="12.75" customHeight="1" x14ac:dyDescent="0.2">
      <c r="A73" s="8"/>
      <c r="B73" s="17"/>
      <c r="C73" s="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8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25"/>
      <c r="AO73" s="11"/>
    </row>
    <row r="74" spans="1:41" ht="12.75" customHeight="1" x14ac:dyDescent="0.2">
      <c r="A74" s="8"/>
      <c r="B74" s="17"/>
      <c r="C74" s="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/>
      <c r="O74" s="18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25"/>
      <c r="AO74" s="11"/>
    </row>
    <row r="75" spans="1:41" ht="12.75" customHeight="1" x14ac:dyDescent="0.2">
      <c r="A75" s="8"/>
      <c r="B75" s="17"/>
      <c r="C75" s="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  <c r="O75" s="18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25"/>
      <c r="AO75" s="11"/>
    </row>
    <row r="76" spans="1:41" ht="12.75" customHeight="1" x14ac:dyDescent="0.2">
      <c r="A76" s="8"/>
      <c r="B76" s="17"/>
      <c r="C76" s="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/>
      <c r="O76" s="18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25"/>
      <c r="AO76" s="11"/>
    </row>
    <row r="77" spans="1:41" ht="12.75" customHeight="1" x14ac:dyDescent="0.2">
      <c r="A77" s="8"/>
      <c r="B77" s="17"/>
      <c r="C77" s="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  <c r="O77" s="18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25"/>
      <c r="AO77" s="11"/>
    </row>
    <row r="78" spans="1:41" ht="12.75" customHeight="1" x14ac:dyDescent="0.2">
      <c r="A78" s="8"/>
      <c r="B78" s="17"/>
      <c r="C78" s="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/>
      <c r="O78" s="18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25"/>
      <c r="AO78" s="11"/>
    </row>
    <row r="79" spans="1:41" ht="12.75" customHeight="1" x14ac:dyDescent="0.2">
      <c r="A79" s="8"/>
      <c r="B79" s="17"/>
      <c r="C79" s="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8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25"/>
      <c r="AO79" s="11"/>
    </row>
    <row r="80" spans="1:41" ht="12.75" customHeight="1" x14ac:dyDescent="0.2">
      <c r="A80" s="8"/>
      <c r="B80" s="17"/>
      <c r="C80" s="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  <c r="O80" s="18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25"/>
      <c r="AO80" s="11"/>
    </row>
    <row r="81" spans="1:41" ht="12.75" customHeight="1" x14ac:dyDescent="0.2">
      <c r="A81" s="8"/>
      <c r="B81" s="17"/>
      <c r="C81" s="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  <c r="O81" s="18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25"/>
      <c r="AO81" s="11"/>
    </row>
    <row r="82" spans="1:41" ht="12.75" customHeight="1" x14ac:dyDescent="0.2">
      <c r="A82" s="8"/>
      <c r="B82" s="17"/>
      <c r="C82" s="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8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25"/>
      <c r="AO82" s="11"/>
    </row>
    <row r="83" spans="1:41" ht="12.75" customHeight="1" x14ac:dyDescent="0.2">
      <c r="A83" s="8"/>
      <c r="B83" s="17"/>
      <c r="C83" s="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  <c r="O83" s="18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25"/>
      <c r="AO83" s="11"/>
    </row>
    <row r="84" spans="1:41" ht="12.75" customHeight="1" x14ac:dyDescent="0.2">
      <c r="A84" s="8"/>
      <c r="B84" s="17"/>
      <c r="C84" s="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18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25"/>
      <c r="AO84" s="11"/>
    </row>
    <row r="85" spans="1:41" ht="12.75" customHeight="1" x14ac:dyDescent="0.2">
      <c r="A85" s="8"/>
      <c r="B85" s="17"/>
      <c r="C85" s="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  <c r="O85" s="18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25"/>
      <c r="AO85" s="11"/>
    </row>
    <row r="86" spans="1:41" ht="12.75" customHeight="1" x14ac:dyDescent="0.2">
      <c r="A86" s="8"/>
      <c r="B86" s="17"/>
      <c r="C86" s="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/>
      <c r="O86" s="18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25"/>
      <c r="AO86" s="11"/>
    </row>
    <row r="87" spans="1:41" ht="12.75" customHeight="1" x14ac:dyDescent="0.2">
      <c r="A87" s="8"/>
      <c r="B87" s="17"/>
      <c r="C87" s="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  <c r="O87" s="18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25"/>
      <c r="AO87" s="11"/>
    </row>
    <row r="88" spans="1:41" ht="12.75" customHeight="1" x14ac:dyDescent="0.2">
      <c r="A88" s="8"/>
      <c r="B88" s="17"/>
      <c r="C88" s="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  <c r="O88" s="18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25"/>
      <c r="AO88" s="11"/>
    </row>
    <row r="89" spans="1:41" ht="12.75" customHeight="1" x14ac:dyDescent="0.2">
      <c r="A89" s="8"/>
      <c r="B89" s="17"/>
      <c r="C89" s="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  <c r="O89" s="18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25"/>
      <c r="AO89" s="11"/>
    </row>
    <row r="90" spans="1:41" ht="12.75" customHeight="1" x14ac:dyDescent="0.2">
      <c r="A90" s="8"/>
      <c r="B90" s="17"/>
      <c r="C90" s="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/>
      <c r="O90" s="18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25"/>
      <c r="AO90" s="11"/>
    </row>
    <row r="91" spans="1:41" ht="12.75" customHeight="1" x14ac:dyDescent="0.2">
      <c r="A91" s="8"/>
      <c r="B91" s="17"/>
      <c r="C91" s="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  <c r="O91" s="18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25"/>
      <c r="AO91" s="11"/>
    </row>
    <row r="92" spans="1:41" ht="12.75" customHeight="1" x14ac:dyDescent="0.2">
      <c r="A92" s="8"/>
      <c r="B92" s="17"/>
      <c r="C92" s="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  <c r="O92" s="18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25"/>
      <c r="AO92" s="11"/>
    </row>
    <row r="93" spans="1:41" ht="12.75" customHeight="1" x14ac:dyDescent="0.2">
      <c r="A93" s="8"/>
      <c r="B93" s="17"/>
      <c r="C93" s="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  <c r="O93" s="18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25"/>
      <c r="AO93" s="11"/>
    </row>
    <row r="94" spans="1:41" ht="12.75" customHeight="1" x14ac:dyDescent="0.2">
      <c r="A94" s="8"/>
      <c r="B94" s="17"/>
      <c r="C94" s="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25"/>
      <c r="AO94" s="11"/>
    </row>
    <row r="95" spans="1:41" ht="12.75" customHeight="1" x14ac:dyDescent="0.2">
      <c r="A95" s="8"/>
      <c r="B95" s="17"/>
      <c r="C95" s="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  <c r="O95" s="18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25"/>
      <c r="AO95" s="11"/>
    </row>
    <row r="96" spans="1:41" ht="12.75" customHeight="1" x14ac:dyDescent="0.2">
      <c r="A96" s="8"/>
      <c r="B96" s="17"/>
      <c r="C96" s="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18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25"/>
      <c r="AO96" s="11"/>
    </row>
    <row r="97" spans="1:41" ht="12.75" customHeight="1" x14ac:dyDescent="0.2">
      <c r="A97" s="8"/>
      <c r="B97" s="17"/>
      <c r="C97" s="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  <c r="O97" s="18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25"/>
      <c r="AO97" s="11"/>
    </row>
    <row r="98" spans="1:41" ht="12.75" customHeight="1" x14ac:dyDescent="0.2">
      <c r="A98" s="8"/>
      <c r="B98" s="17"/>
      <c r="C98" s="8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8"/>
      <c r="O98" s="18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25"/>
      <c r="AO98" s="11"/>
    </row>
    <row r="99" spans="1:41" ht="12.75" customHeight="1" x14ac:dyDescent="0.2">
      <c r="A99" s="8"/>
      <c r="B99" s="17"/>
      <c r="C99" s="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  <c r="O99" s="18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25"/>
      <c r="AO99" s="11"/>
    </row>
    <row r="100" spans="1:41" ht="12.75" customHeight="1" x14ac:dyDescent="0.2">
      <c r="A100" s="8"/>
      <c r="B100" s="17"/>
      <c r="C100" s="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/>
      <c r="O100" s="18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25"/>
      <c r="AO100" s="11"/>
    </row>
    <row r="101" spans="1:41" ht="12.75" customHeight="1" x14ac:dyDescent="0.2">
      <c r="A101" s="8"/>
      <c r="B101" s="17"/>
      <c r="C101" s="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18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25"/>
      <c r="AO101" s="11"/>
    </row>
    <row r="102" spans="1:41" ht="12.75" customHeight="1" x14ac:dyDescent="0.2">
      <c r="A102" s="8"/>
      <c r="B102" s="17"/>
      <c r="C102" s="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/>
      <c r="O102" s="18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25"/>
      <c r="AO102" s="11"/>
    </row>
    <row r="103" spans="1:41" ht="12.75" customHeight="1" x14ac:dyDescent="0.2">
      <c r="A103" s="8"/>
      <c r="B103" s="17"/>
      <c r="C103" s="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8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25"/>
      <c r="AO103" s="11"/>
    </row>
    <row r="104" spans="1:41" ht="12.75" customHeight="1" x14ac:dyDescent="0.2">
      <c r="A104" s="8"/>
      <c r="B104" s="17"/>
      <c r="C104" s="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8"/>
      <c r="O104" s="18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25"/>
      <c r="AO104" s="11"/>
    </row>
    <row r="105" spans="1:41" ht="12.75" customHeight="1" x14ac:dyDescent="0.2">
      <c r="A105" s="8"/>
      <c r="B105" s="17"/>
      <c r="C105" s="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  <c r="O105" s="18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25"/>
      <c r="AO105" s="11"/>
    </row>
    <row r="106" spans="1:41" ht="12.75" customHeight="1" x14ac:dyDescent="0.2">
      <c r="A106" s="8"/>
      <c r="B106" s="17"/>
      <c r="C106" s="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8"/>
      <c r="O106" s="18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25"/>
      <c r="AO106" s="11"/>
    </row>
    <row r="107" spans="1:41" ht="12.75" customHeight="1" x14ac:dyDescent="0.2">
      <c r="A107" s="8"/>
      <c r="B107" s="17"/>
      <c r="C107" s="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  <c r="O107" s="18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25"/>
      <c r="AO107" s="11"/>
    </row>
    <row r="108" spans="1:41" ht="12.75" customHeight="1" x14ac:dyDescent="0.2">
      <c r="A108" s="8"/>
      <c r="B108" s="17"/>
      <c r="C108" s="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8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25"/>
      <c r="AO108" s="11"/>
    </row>
    <row r="109" spans="1:41" ht="12.75" customHeight="1" x14ac:dyDescent="0.2">
      <c r="A109" s="8"/>
      <c r="B109" s="17"/>
      <c r="C109" s="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8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25"/>
      <c r="AO109" s="11"/>
    </row>
    <row r="110" spans="1:41" ht="12.75" customHeight="1" x14ac:dyDescent="0.2">
      <c r="A110" s="8"/>
      <c r="B110" s="17"/>
      <c r="C110" s="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18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25"/>
      <c r="AO110" s="11"/>
    </row>
    <row r="111" spans="1:41" ht="12.75" customHeight="1" x14ac:dyDescent="0.2">
      <c r="A111" s="8"/>
      <c r="B111" s="17"/>
      <c r="C111" s="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  <c r="O111" s="18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25"/>
      <c r="AO111" s="11"/>
    </row>
    <row r="112" spans="1:41" ht="12.75" customHeight="1" x14ac:dyDescent="0.2">
      <c r="A112" s="8"/>
      <c r="B112" s="17"/>
      <c r="C112" s="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8"/>
      <c r="O112" s="18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25"/>
      <c r="AO112" s="11"/>
    </row>
    <row r="113" spans="1:41" ht="12.75" customHeight="1" x14ac:dyDescent="0.2">
      <c r="A113" s="8"/>
      <c r="B113" s="17"/>
      <c r="C113" s="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8"/>
      <c r="O113" s="18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25"/>
      <c r="AO113" s="11"/>
    </row>
    <row r="114" spans="1:41" ht="12.75" customHeight="1" x14ac:dyDescent="0.2">
      <c r="A114" s="8"/>
      <c r="B114" s="17"/>
      <c r="C114" s="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8"/>
      <c r="O114" s="18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25"/>
      <c r="AO114" s="11"/>
    </row>
    <row r="115" spans="1:41" ht="12.75" customHeight="1" x14ac:dyDescent="0.2">
      <c r="A115" s="8"/>
      <c r="B115" s="17"/>
      <c r="C115" s="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8"/>
      <c r="O115" s="18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25"/>
      <c r="AO115" s="11"/>
    </row>
    <row r="116" spans="1:41" ht="12.75" customHeight="1" x14ac:dyDescent="0.2">
      <c r="A116" s="8"/>
      <c r="B116" s="17"/>
      <c r="C116" s="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8"/>
      <c r="O116" s="18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25"/>
      <c r="AO116" s="11"/>
    </row>
    <row r="117" spans="1:41" ht="12.75" customHeight="1" x14ac:dyDescent="0.2">
      <c r="A117" s="8"/>
      <c r="B117" s="17"/>
      <c r="C117" s="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18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25"/>
      <c r="AO117" s="11"/>
    </row>
    <row r="118" spans="1:41" ht="12.75" customHeight="1" x14ac:dyDescent="0.2">
      <c r="A118" s="8"/>
      <c r="B118" s="17"/>
      <c r="C118" s="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8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25"/>
      <c r="AO118" s="11"/>
    </row>
    <row r="119" spans="1:41" ht="12.75" customHeight="1" x14ac:dyDescent="0.2">
      <c r="A119" s="8"/>
      <c r="B119" s="17"/>
      <c r="C119" s="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/>
      <c r="O119" s="18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25"/>
      <c r="AO119" s="11"/>
    </row>
    <row r="120" spans="1:41" ht="12.75" customHeight="1" x14ac:dyDescent="0.2">
      <c r="A120" s="8"/>
      <c r="B120" s="17"/>
      <c r="C120" s="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8"/>
      <c r="O120" s="18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25"/>
      <c r="AO120" s="11"/>
    </row>
    <row r="121" spans="1:41" ht="12.75" customHeight="1" x14ac:dyDescent="0.2">
      <c r="A121" s="8"/>
      <c r="B121" s="17"/>
      <c r="C121" s="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8"/>
      <c r="O121" s="18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25"/>
      <c r="AO121" s="11"/>
    </row>
    <row r="122" spans="1:41" ht="12.75" customHeight="1" x14ac:dyDescent="0.2">
      <c r="A122" s="8"/>
      <c r="B122" s="17"/>
      <c r="C122" s="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/>
      <c r="O122" s="18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25"/>
      <c r="AO122" s="11"/>
    </row>
    <row r="123" spans="1:41" ht="12.75" customHeight="1" x14ac:dyDescent="0.2">
      <c r="A123" s="8"/>
      <c r="B123" s="17"/>
      <c r="C123" s="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/>
      <c r="O123" s="18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25"/>
      <c r="AO123" s="11"/>
    </row>
    <row r="124" spans="1:41" ht="12.75" customHeight="1" x14ac:dyDescent="0.2">
      <c r="A124" s="8"/>
      <c r="B124" s="17"/>
      <c r="C124" s="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8"/>
      <c r="O124" s="18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25"/>
      <c r="AO124" s="11"/>
    </row>
    <row r="125" spans="1:41" ht="12.75" customHeight="1" x14ac:dyDescent="0.2">
      <c r="A125" s="8"/>
      <c r="B125" s="17"/>
      <c r="C125" s="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8"/>
      <c r="O125" s="18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25"/>
      <c r="AO125" s="11"/>
    </row>
    <row r="126" spans="1:41" ht="12.75" customHeight="1" x14ac:dyDescent="0.2">
      <c r="A126" s="8"/>
      <c r="B126" s="17"/>
      <c r="C126" s="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/>
      <c r="O126" s="18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25"/>
      <c r="AO126" s="11"/>
    </row>
    <row r="127" spans="1:41" ht="12.75" customHeight="1" x14ac:dyDescent="0.2">
      <c r="A127" s="8"/>
      <c r="B127" s="17"/>
      <c r="C127" s="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8"/>
      <c r="O127" s="18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25"/>
      <c r="AO127" s="11"/>
    </row>
    <row r="128" spans="1:41" ht="12.75" customHeight="1" x14ac:dyDescent="0.2">
      <c r="A128" s="8"/>
      <c r="B128" s="17"/>
      <c r="C128" s="8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8"/>
      <c r="O128" s="18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25"/>
      <c r="AO128" s="11"/>
    </row>
    <row r="129" spans="1:41" ht="12.75" customHeight="1" x14ac:dyDescent="0.2">
      <c r="A129" s="8"/>
      <c r="B129" s="17"/>
      <c r="C129" s="8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8"/>
      <c r="O129" s="18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25"/>
      <c r="AO129" s="11"/>
    </row>
    <row r="130" spans="1:41" ht="12.75" customHeight="1" x14ac:dyDescent="0.2">
      <c r="A130" s="8"/>
      <c r="B130" s="17"/>
      <c r="C130" s="8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8"/>
      <c r="O130" s="18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25"/>
      <c r="AO130" s="11"/>
    </row>
    <row r="131" spans="1:41" ht="12.75" customHeight="1" x14ac:dyDescent="0.2">
      <c r="A131" s="8"/>
      <c r="B131" s="17"/>
      <c r="C131" s="8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8"/>
      <c r="O131" s="18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25"/>
      <c r="AO131" s="11"/>
    </row>
    <row r="132" spans="1:41" ht="12.75" customHeight="1" x14ac:dyDescent="0.2">
      <c r="A132" s="8"/>
      <c r="B132" s="17"/>
      <c r="C132" s="8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8"/>
      <c r="O132" s="18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25"/>
      <c r="AO132" s="11"/>
    </row>
    <row r="133" spans="1:41" ht="12.75" customHeight="1" x14ac:dyDescent="0.2">
      <c r="A133" s="8"/>
      <c r="B133" s="17"/>
      <c r="C133" s="8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8"/>
      <c r="O133" s="18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25"/>
      <c r="AO133" s="11"/>
    </row>
    <row r="134" spans="1:41" ht="12.75" customHeight="1" x14ac:dyDescent="0.2">
      <c r="A134" s="8"/>
      <c r="B134" s="17"/>
      <c r="C134" s="8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8"/>
      <c r="O134" s="18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25"/>
      <c r="AO134" s="11"/>
    </row>
    <row r="135" spans="1:41" ht="12.75" customHeight="1" x14ac:dyDescent="0.2">
      <c r="A135" s="8"/>
      <c r="B135" s="17"/>
      <c r="C135" s="8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8"/>
      <c r="O135" s="18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25"/>
      <c r="AO135" s="11"/>
    </row>
    <row r="136" spans="1:41" ht="12.75" customHeight="1" x14ac:dyDescent="0.2">
      <c r="A136" s="8"/>
      <c r="B136" s="17"/>
      <c r="C136" s="8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8"/>
      <c r="O136" s="18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25"/>
      <c r="AO136" s="11"/>
    </row>
    <row r="137" spans="1:41" ht="12.75" customHeight="1" x14ac:dyDescent="0.2">
      <c r="A137" s="8"/>
      <c r="B137" s="17"/>
      <c r="C137" s="8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8"/>
      <c r="O137" s="18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25"/>
      <c r="AO137" s="11"/>
    </row>
    <row r="138" spans="1:41" ht="12.75" customHeight="1" x14ac:dyDescent="0.2">
      <c r="A138" s="8"/>
      <c r="B138" s="17"/>
      <c r="C138" s="8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8"/>
      <c r="O138" s="18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25"/>
      <c r="AO138" s="11"/>
    </row>
    <row r="139" spans="1:41" ht="12.75" customHeight="1" x14ac:dyDescent="0.2">
      <c r="A139" s="8"/>
      <c r="B139" s="17"/>
      <c r="C139" s="8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8"/>
      <c r="O139" s="18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25"/>
      <c r="AO139" s="11"/>
    </row>
    <row r="140" spans="1:41" ht="12.75" customHeight="1" x14ac:dyDescent="0.2">
      <c r="A140" s="8"/>
      <c r="B140" s="17"/>
      <c r="C140" s="8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8"/>
      <c r="O140" s="18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25"/>
      <c r="AO140" s="11"/>
    </row>
    <row r="141" spans="1:41" ht="12.75" customHeight="1" x14ac:dyDescent="0.2">
      <c r="A141" s="8"/>
      <c r="B141" s="17"/>
      <c r="C141" s="8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8"/>
      <c r="O141" s="18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25"/>
      <c r="AO141" s="11"/>
    </row>
    <row r="142" spans="1:41" ht="12.75" customHeight="1" x14ac:dyDescent="0.2">
      <c r="A142" s="8"/>
      <c r="B142" s="17"/>
      <c r="C142" s="8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8"/>
      <c r="O142" s="18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25"/>
      <c r="AO142" s="11"/>
    </row>
    <row r="143" spans="1:41" ht="12.75" customHeight="1" x14ac:dyDescent="0.2">
      <c r="A143" s="8"/>
      <c r="B143" s="17"/>
      <c r="C143" s="8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8"/>
      <c r="O143" s="18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25"/>
      <c r="AO143" s="11"/>
    </row>
    <row r="144" spans="1:41" ht="12.75" customHeight="1" x14ac:dyDescent="0.2">
      <c r="A144" s="8"/>
      <c r="B144" s="17"/>
      <c r="C144" s="8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8"/>
      <c r="O144" s="18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25"/>
      <c r="AO144" s="11"/>
    </row>
    <row r="145" spans="1:41" ht="12.75" customHeight="1" x14ac:dyDescent="0.2">
      <c r="A145" s="8"/>
      <c r="B145" s="17"/>
      <c r="C145" s="8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8"/>
      <c r="O145" s="18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25"/>
      <c r="AO145" s="11"/>
    </row>
    <row r="146" spans="1:41" ht="12.75" customHeight="1" x14ac:dyDescent="0.2">
      <c r="A146" s="8"/>
      <c r="B146" s="17"/>
      <c r="C146" s="8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8"/>
      <c r="O146" s="18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25"/>
      <c r="AO146" s="11"/>
    </row>
    <row r="147" spans="1:41" ht="12.75" customHeight="1" x14ac:dyDescent="0.2">
      <c r="A147" s="8"/>
      <c r="B147" s="17"/>
      <c r="C147" s="8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8"/>
      <c r="O147" s="18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25"/>
      <c r="AO147" s="11"/>
    </row>
    <row r="148" spans="1:41" ht="12.75" customHeight="1" x14ac:dyDescent="0.2">
      <c r="A148" s="8"/>
      <c r="B148" s="17"/>
      <c r="C148" s="8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8"/>
      <c r="O148" s="18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25"/>
      <c r="AO148" s="11"/>
    </row>
    <row r="149" spans="1:41" ht="12.75" customHeight="1" x14ac:dyDescent="0.2">
      <c r="A149" s="8"/>
      <c r="B149" s="17"/>
      <c r="C149" s="8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8"/>
      <c r="O149" s="18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25"/>
      <c r="AO149" s="11"/>
    </row>
    <row r="150" spans="1:41" ht="12.75" customHeight="1" x14ac:dyDescent="0.2">
      <c r="A150" s="8"/>
      <c r="B150" s="17"/>
      <c r="C150" s="8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8"/>
      <c r="O150" s="18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25"/>
      <c r="AO150" s="11"/>
    </row>
    <row r="151" spans="1:41" ht="12.75" customHeight="1" x14ac:dyDescent="0.2">
      <c r="A151" s="8"/>
      <c r="B151" s="17"/>
      <c r="C151" s="8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8"/>
      <c r="O151" s="18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25"/>
      <c r="AO151" s="11"/>
    </row>
    <row r="152" spans="1:41" ht="12.75" customHeight="1" x14ac:dyDescent="0.2">
      <c r="A152" s="8"/>
      <c r="B152" s="17"/>
      <c r="C152" s="8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8"/>
      <c r="O152" s="18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25"/>
      <c r="AO152" s="11"/>
    </row>
    <row r="153" spans="1:41" ht="12.75" customHeight="1" x14ac:dyDescent="0.2">
      <c r="A153" s="8"/>
      <c r="B153" s="17"/>
      <c r="C153" s="8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8"/>
      <c r="O153" s="18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25"/>
      <c r="AO153" s="11"/>
    </row>
    <row r="154" spans="1:41" ht="12.75" customHeight="1" x14ac:dyDescent="0.2">
      <c r="A154" s="8"/>
      <c r="B154" s="17"/>
      <c r="C154" s="8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8"/>
      <c r="O154" s="18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25"/>
      <c r="AO154" s="11"/>
    </row>
    <row r="155" spans="1:41" ht="12.75" customHeight="1" x14ac:dyDescent="0.2">
      <c r="A155" s="8"/>
      <c r="B155" s="17"/>
      <c r="C155" s="8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8"/>
      <c r="O155" s="18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25"/>
      <c r="AO155" s="11"/>
    </row>
    <row r="156" spans="1:41" ht="12.75" customHeight="1" x14ac:dyDescent="0.2">
      <c r="A156" s="8"/>
      <c r="B156" s="17"/>
      <c r="C156" s="8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8"/>
      <c r="O156" s="18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25"/>
      <c r="AO156" s="11"/>
    </row>
    <row r="157" spans="1:41" ht="12.75" customHeight="1" x14ac:dyDescent="0.2">
      <c r="A157" s="8"/>
      <c r="B157" s="17"/>
      <c r="C157" s="8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8"/>
      <c r="O157" s="18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25"/>
      <c r="AO157" s="11"/>
    </row>
    <row r="158" spans="1:41" ht="12.75" customHeight="1" x14ac:dyDescent="0.2">
      <c r="A158" s="8"/>
      <c r="B158" s="17"/>
      <c r="C158" s="8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8"/>
      <c r="O158" s="18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25"/>
      <c r="AO158" s="11"/>
    </row>
    <row r="159" spans="1:41" ht="12.75" customHeight="1" x14ac:dyDescent="0.2">
      <c r="A159" s="8"/>
      <c r="B159" s="17"/>
      <c r="C159" s="8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8"/>
      <c r="O159" s="18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25"/>
      <c r="AO159" s="11"/>
    </row>
    <row r="160" spans="1:41" ht="12.75" customHeight="1" x14ac:dyDescent="0.2">
      <c r="A160" s="8"/>
      <c r="B160" s="17"/>
      <c r="C160" s="8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8"/>
      <c r="O160" s="18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25"/>
      <c r="AO160" s="11"/>
    </row>
    <row r="161" spans="1:41" ht="12.75" customHeight="1" x14ac:dyDescent="0.2">
      <c r="A161" s="8"/>
      <c r="B161" s="17"/>
      <c r="C161" s="8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8"/>
      <c r="O161" s="18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25"/>
      <c r="AO161" s="11"/>
    </row>
    <row r="162" spans="1:41" ht="12.75" customHeight="1" x14ac:dyDescent="0.2">
      <c r="A162" s="8"/>
      <c r="B162" s="17"/>
      <c r="C162" s="8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8"/>
      <c r="O162" s="18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25"/>
      <c r="AO162" s="11"/>
    </row>
    <row r="163" spans="1:41" ht="12.75" customHeight="1" x14ac:dyDescent="0.2">
      <c r="A163" s="8"/>
      <c r="B163" s="17"/>
      <c r="C163" s="8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8"/>
      <c r="O163" s="18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25"/>
      <c r="AO163" s="11"/>
    </row>
    <row r="164" spans="1:41" ht="12.75" customHeight="1" x14ac:dyDescent="0.2">
      <c r="A164" s="8"/>
      <c r="B164" s="17"/>
      <c r="C164" s="8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8"/>
      <c r="O164" s="18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25"/>
      <c r="AO164" s="11"/>
    </row>
    <row r="165" spans="1:41" ht="12.75" customHeight="1" x14ac:dyDescent="0.2">
      <c r="A165" s="8"/>
      <c r="B165" s="17"/>
      <c r="C165" s="8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8"/>
      <c r="O165" s="18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25"/>
      <c r="AO165" s="11"/>
    </row>
    <row r="166" spans="1:41" ht="12.75" customHeight="1" x14ac:dyDescent="0.2">
      <c r="A166" s="8"/>
      <c r="B166" s="17"/>
      <c r="C166" s="8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8"/>
      <c r="O166" s="18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25"/>
      <c r="AO166" s="11"/>
    </row>
    <row r="167" spans="1:41" ht="12.75" customHeight="1" x14ac:dyDescent="0.2">
      <c r="A167" s="8"/>
      <c r="B167" s="17"/>
      <c r="C167" s="8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  <c r="O167" s="18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25"/>
      <c r="AO167" s="11"/>
    </row>
    <row r="168" spans="1:41" ht="12.75" customHeight="1" x14ac:dyDescent="0.2">
      <c r="A168" s="8"/>
      <c r="B168" s="17"/>
      <c r="C168" s="8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8"/>
      <c r="O168" s="18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25"/>
      <c r="AO168" s="11"/>
    </row>
    <row r="169" spans="1:41" ht="12.75" customHeight="1" x14ac:dyDescent="0.2">
      <c r="A169" s="8"/>
      <c r="B169" s="17"/>
      <c r="C169" s="8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  <c r="O169" s="18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25"/>
      <c r="AO169" s="11"/>
    </row>
    <row r="170" spans="1:41" ht="12.75" customHeight="1" x14ac:dyDescent="0.2">
      <c r="A170" s="8"/>
      <c r="B170" s="17"/>
      <c r="C170" s="8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8"/>
      <c r="O170" s="18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25"/>
      <c r="AO170" s="11"/>
    </row>
    <row r="171" spans="1:41" ht="12.75" customHeight="1" x14ac:dyDescent="0.2">
      <c r="A171" s="8"/>
      <c r="B171" s="17"/>
      <c r="C171" s="8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/>
      <c r="O171" s="18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25"/>
      <c r="AO171" s="11"/>
    </row>
    <row r="172" spans="1:41" ht="12.75" customHeight="1" x14ac:dyDescent="0.2">
      <c r="A172" s="8"/>
      <c r="B172" s="17"/>
      <c r="C172" s="8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8"/>
      <c r="O172" s="18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25"/>
      <c r="AO172" s="11"/>
    </row>
    <row r="173" spans="1:41" ht="12.75" customHeight="1" x14ac:dyDescent="0.2">
      <c r="A173" s="8"/>
      <c r="B173" s="17"/>
      <c r="C173" s="8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  <c r="O173" s="18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25"/>
      <c r="AO173" s="11"/>
    </row>
    <row r="174" spans="1:41" ht="12.75" customHeight="1" x14ac:dyDescent="0.2">
      <c r="A174" s="8"/>
      <c r="B174" s="17"/>
      <c r="C174" s="8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8"/>
      <c r="O174" s="18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25"/>
      <c r="AO174" s="11"/>
    </row>
    <row r="175" spans="1:41" ht="12.75" customHeight="1" x14ac:dyDescent="0.2">
      <c r="A175" s="8"/>
      <c r="B175" s="17"/>
      <c r="C175" s="8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  <c r="O175" s="18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25"/>
      <c r="AO175" s="11"/>
    </row>
    <row r="176" spans="1:41" ht="12.75" customHeight="1" x14ac:dyDescent="0.2">
      <c r="A176" s="8"/>
      <c r="B176" s="17"/>
      <c r="C176" s="8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8"/>
      <c r="O176" s="18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25"/>
      <c r="AO176" s="11"/>
    </row>
    <row r="177" spans="1:41" ht="12.75" customHeight="1" x14ac:dyDescent="0.2">
      <c r="A177" s="8"/>
      <c r="B177" s="17"/>
      <c r="C177" s="8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  <c r="O177" s="18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25"/>
      <c r="AO177" s="11"/>
    </row>
    <row r="178" spans="1:41" ht="12.75" customHeight="1" x14ac:dyDescent="0.2">
      <c r="A178" s="8"/>
      <c r="B178" s="17"/>
      <c r="C178" s="8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8"/>
      <c r="O178" s="18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25"/>
      <c r="AO178" s="11"/>
    </row>
    <row r="179" spans="1:41" ht="12.75" customHeight="1" x14ac:dyDescent="0.2">
      <c r="A179" s="8"/>
      <c r="B179" s="17"/>
      <c r="C179" s="8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  <c r="O179" s="18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25"/>
      <c r="AO179" s="11"/>
    </row>
    <row r="180" spans="1:41" ht="12.75" customHeight="1" x14ac:dyDescent="0.2">
      <c r="A180" s="8"/>
      <c r="B180" s="17"/>
      <c r="C180" s="8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8"/>
      <c r="O180" s="18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25"/>
      <c r="AO180" s="11"/>
    </row>
    <row r="181" spans="1:41" ht="12.75" customHeight="1" x14ac:dyDescent="0.2">
      <c r="A181" s="8"/>
      <c r="B181" s="17"/>
      <c r="C181" s="8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  <c r="O181" s="18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25"/>
      <c r="AO181" s="11"/>
    </row>
    <row r="182" spans="1:41" ht="12.75" customHeight="1" x14ac:dyDescent="0.2">
      <c r="A182" s="8"/>
      <c r="B182" s="17"/>
      <c r="C182" s="8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8"/>
      <c r="O182" s="18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25"/>
      <c r="AO182" s="11"/>
    </row>
    <row r="183" spans="1:41" ht="12.75" customHeight="1" x14ac:dyDescent="0.2">
      <c r="A183" s="8"/>
      <c r="B183" s="17"/>
      <c r="C183" s="8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  <c r="O183" s="18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25"/>
      <c r="AO183" s="11"/>
    </row>
    <row r="184" spans="1:41" ht="12.75" customHeight="1" x14ac:dyDescent="0.2">
      <c r="A184" s="8"/>
      <c r="B184" s="17"/>
      <c r="C184" s="8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8"/>
      <c r="O184" s="18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25"/>
      <c r="AO184" s="11"/>
    </row>
    <row r="185" spans="1:41" ht="12.75" customHeight="1" x14ac:dyDescent="0.2">
      <c r="A185" s="8"/>
      <c r="B185" s="17"/>
      <c r="C185" s="8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  <c r="O185" s="18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25"/>
      <c r="AO185" s="11"/>
    </row>
    <row r="186" spans="1:41" ht="12.75" customHeight="1" x14ac:dyDescent="0.2">
      <c r="A186" s="8"/>
      <c r="B186" s="17"/>
      <c r="C186" s="8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8"/>
      <c r="O186" s="18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25"/>
      <c r="AO186" s="11"/>
    </row>
    <row r="187" spans="1:41" ht="12.75" customHeight="1" x14ac:dyDescent="0.2">
      <c r="A187" s="8"/>
      <c r="B187" s="17"/>
      <c r="C187" s="8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  <c r="O187" s="18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25"/>
      <c r="AO187" s="11"/>
    </row>
    <row r="188" spans="1:41" ht="12.75" customHeight="1" x14ac:dyDescent="0.2">
      <c r="A188" s="8"/>
      <c r="B188" s="17"/>
      <c r="C188" s="8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8"/>
      <c r="O188" s="18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25"/>
      <c r="AO188" s="11"/>
    </row>
    <row r="189" spans="1:41" ht="12.75" customHeight="1" x14ac:dyDescent="0.2">
      <c r="A189" s="8"/>
      <c r="B189" s="17"/>
      <c r="C189" s="8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  <c r="O189" s="18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25"/>
      <c r="AO189" s="11"/>
    </row>
    <row r="190" spans="1:41" ht="12.75" customHeight="1" x14ac:dyDescent="0.2">
      <c r="A190" s="8"/>
      <c r="B190" s="17"/>
      <c r="C190" s="8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8"/>
      <c r="O190" s="18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25"/>
      <c r="AO190" s="11"/>
    </row>
    <row r="191" spans="1:41" ht="12.75" customHeight="1" x14ac:dyDescent="0.2">
      <c r="A191" s="8"/>
      <c r="B191" s="17"/>
      <c r="C191" s="8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  <c r="O191" s="18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25"/>
      <c r="AO191" s="11"/>
    </row>
    <row r="192" spans="1:41" ht="12.75" customHeight="1" x14ac:dyDescent="0.2">
      <c r="A192" s="8"/>
      <c r="B192" s="17"/>
      <c r="C192" s="8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8"/>
      <c r="O192" s="18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25"/>
      <c r="AO192" s="11"/>
    </row>
    <row r="193" spans="1:41" ht="12.75" customHeight="1" x14ac:dyDescent="0.2">
      <c r="A193" s="8"/>
      <c r="B193" s="17"/>
      <c r="C193" s="8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  <c r="O193" s="18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25"/>
      <c r="AO193" s="11"/>
    </row>
    <row r="194" spans="1:41" ht="12.75" customHeight="1" x14ac:dyDescent="0.2">
      <c r="A194" s="8"/>
      <c r="B194" s="17"/>
      <c r="C194" s="8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8"/>
      <c r="O194" s="18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25"/>
      <c r="AO194" s="11"/>
    </row>
    <row r="195" spans="1:41" ht="12.75" customHeight="1" x14ac:dyDescent="0.2">
      <c r="A195" s="8"/>
      <c r="B195" s="17"/>
      <c r="C195" s="8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/>
      <c r="O195" s="18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25"/>
      <c r="AO195" s="11"/>
    </row>
    <row r="196" spans="1:41" ht="12.75" customHeight="1" x14ac:dyDescent="0.2">
      <c r="A196" s="8"/>
      <c r="B196" s="17"/>
      <c r="C196" s="8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8"/>
      <c r="O196" s="18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25"/>
      <c r="AO196" s="11"/>
    </row>
    <row r="197" spans="1:41" ht="12.75" customHeight="1" x14ac:dyDescent="0.2">
      <c r="A197" s="8"/>
      <c r="B197" s="17"/>
      <c r="C197" s="8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/>
      <c r="O197" s="18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25"/>
      <c r="AO197" s="11"/>
    </row>
    <row r="198" spans="1:41" ht="12.75" customHeight="1" x14ac:dyDescent="0.2">
      <c r="A198" s="8"/>
      <c r="B198" s="17"/>
      <c r="C198" s="8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8"/>
      <c r="O198" s="18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25"/>
      <c r="AO198" s="11"/>
    </row>
    <row r="199" spans="1:41" ht="12.75" customHeight="1" x14ac:dyDescent="0.2">
      <c r="A199" s="8"/>
      <c r="B199" s="17"/>
      <c r="C199" s="8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  <c r="O199" s="18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25"/>
      <c r="AO199" s="11"/>
    </row>
    <row r="200" spans="1:41" ht="12.75" customHeight="1" x14ac:dyDescent="0.2">
      <c r="A200" s="8"/>
      <c r="B200" s="17"/>
      <c r="C200" s="8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8"/>
      <c r="O200" s="18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25"/>
      <c r="AO200" s="11"/>
    </row>
    <row r="201" spans="1:41" ht="12.75" customHeight="1" x14ac:dyDescent="0.2">
      <c r="A201" s="8"/>
      <c r="B201" s="17"/>
      <c r="C201" s="8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  <c r="O201" s="18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25"/>
      <c r="AO201" s="11"/>
    </row>
    <row r="202" spans="1:41" ht="12.75" customHeight="1" x14ac:dyDescent="0.2">
      <c r="A202" s="9"/>
      <c r="B202" s="10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 ht="12.75" customHeight="1" x14ac:dyDescent="0.2">
      <c r="A203" s="9"/>
      <c r="B203" s="10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1:41" ht="12.75" customHeight="1" x14ac:dyDescent="0.2">
      <c r="A204" s="9"/>
      <c r="B204" s="10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1:41" ht="12.75" customHeight="1" x14ac:dyDescent="0.2">
      <c r="A205" s="9"/>
      <c r="B205" s="10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1:41" ht="12.75" customHeight="1" x14ac:dyDescent="0.2">
      <c r="A206" s="9"/>
      <c r="B206" s="10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1:41" ht="12.75" customHeight="1" x14ac:dyDescent="0.2">
      <c r="A207" s="9"/>
      <c r="B207" s="10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1:41" ht="12.75" customHeight="1" x14ac:dyDescent="0.2">
      <c r="A208" s="9"/>
      <c r="B208" s="10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:41" ht="12.75" customHeight="1" x14ac:dyDescent="0.2">
      <c r="A209" s="9"/>
      <c r="B209" s="10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:41" ht="12.75" customHeight="1" x14ac:dyDescent="0.2">
      <c r="A210" s="9"/>
      <c r="B210" s="10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:41" ht="12.75" customHeight="1" x14ac:dyDescent="0.2">
      <c r="A211" s="9"/>
      <c r="B211" s="10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:41" ht="12.75" customHeight="1" x14ac:dyDescent="0.2">
      <c r="A212" s="9"/>
      <c r="B212" s="10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:41" ht="12.75" customHeight="1" x14ac:dyDescent="0.2">
      <c r="A213" s="9"/>
      <c r="B213" s="10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:41" ht="12.75" customHeight="1" x14ac:dyDescent="0.2">
      <c r="A214" s="9"/>
      <c r="B214" s="10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:41" ht="12.75" customHeight="1" x14ac:dyDescent="0.2">
      <c r="A215" s="9"/>
      <c r="B215" s="10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:41" ht="12.75" customHeight="1" x14ac:dyDescent="0.2">
      <c r="A216" s="9"/>
      <c r="B216" s="10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1:41" ht="12.75" customHeight="1" x14ac:dyDescent="0.2">
      <c r="A217" s="9"/>
      <c r="B217" s="10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1:41" ht="12.75" customHeight="1" x14ac:dyDescent="0.2">
      <c r="A218" s="9"/>
      <c r="B218" s="10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1:41" ht="12.75" customHeight="1" x14ac:dyDescent="0.2">
      <c r="A219" s="9"/>
      <c r="B219" s="10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1:41" ht="12.75" customHeight="1" x14ac:dyDescent="0.2">
      <c r="A220" s="9"/>
      <c r="B220" s="10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1:41" ht="12.75" customHeight="1" x14ac:dyDescent="0.2">
      <c r="A221" s="9"/>
      <c r="B221" s="10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1:41" ht="12.75" customHeight="1" x14ac:dyDescent="0.2">
      <c r="A222" s="9"/>
      <c r="B222" s="10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1:41" ht="12.75" customHeight="1" x14ac:dyDescent="0.2">
      <c r="A223" s="9"/>
      <c r="B223" s="10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1:41" ht="12.75" customHeight="1" x14ac:dyDescent="0.2">
      <c r="A224" s="9"/>
      <c r="B224" s="10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1:41" ht="12.75" customHeight="1" x14ac:dyDescent="0.2">
      <c r="A225" s="9"/>
      <c r="B225" s="10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1:41" ht="12.75" customHeight="1" x14ac:dyDescent="0.2">
      <c r="A226" s="9"/>
      <c r="B226" s="10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1:41" ht="12.75" customHeight="1" x14ac:dyDescent="0.2">
      <c r="A227" s="9"/>
      <c r="B227" s="10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1:41" ht="12.75" customHeight="1" x14ac:dyDescent="0.2">
      <c r="A228" s="8"/>
      <c r="B228" s="17"/>
      <c r="C228" s="8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25"/>
      <c r="AO228" s="11"/>
    </row>
    <row r="229" spans="1:41" ht="12.75" customHeight="1" x14ac:dyDescent="0.2">
      <c r="A229" s="8"/>
      <c r="B229" s="17"/>
      <c r="C229" s="8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25"/>
      <c r="AO229" s="11"/>
    </row>
    <row r="230" spans="1:41" ht="12.75" customHeight="1" x14ac:dyDescent="0.2">
      <c r="A230" s="8"/>
      <c r="B230" s="17"/>
      <c r="C230" s="8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25"/>
      <c r="AO230" s="11"/>
    </row>
    <row r="231" spans="1:41" ht="12.75" customHeight="1" x14ac:dyDescent="0.2">
      <c r="A231" s="8"/>
      <c r="B231" s="17"/>
      <c r="C231" s="8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25"/>
      <c r="AO231" s="11"/>
    </row>
    <row r="232" spans="1:41" ht="12.75" customHeight="1" x14ac:dyDescent="0.2">
      <c r="A232" s="8"/>
      <c r="B232" s="17"/>
      <c r="C232" s="8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25"/>
      <c r="AO232" s="11"/>
    </row>
    <row r="233" spans="1:41" ht="12.75" customHeight="1" x14ac:dyDescent="0.2">
      <c r="A233" s="8"/>
      <c r="B233" s="17"/>
      <c r="C233" s="8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25"/>
      <c r="AO233" s="11"/>
    </row>
    <row r="234" spans="1:41" ht="12.75" customHeight="1" x14ac:dyDescent="0.2">
      <c r="A234" s="8"/>
      <c r="B234" s="17"/>
      <c r="C234" s="8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25"/>
      <c r="AO234" s="11"/>
    </row>
    <row r="235" spans="1:41" ht="12.75" customHeight="1" x14ac:dyDescent="0.2">
      <c r="A235" s="8"/>
      <c r="B235" s="17"/>
      <c r="C235" s="8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25"/>
      <c r="AO235" s="11"/>
    </row>
    <row r="236" spans="1:41" ht="12.75" customHeight="1" x14ac:dyDescent="0.2">
      <c r="A236" s="8"/>
      <c r="B236" s="17"/>
      <c r="C236" s="8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25"/>
      <c r="AO236" s="11"/>
    </row>
    <row r="237" spans="1:41" ht="12.75" customHeight="1" x14ac:dyDescent="0.2">
      <c r="A237" s="8"/>
      <c r="B237" s="17"/>
      <c r="C237" s="8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25"/>
      <c r="AO237" s="11"/>
    </row>
    <row r="238" spans="1:41" ht="12.75" customHeight="1" x14ac:dyDescent="0.2">
      <c r="A238" s="8"/>
      <c r="B238" s="17"/>
      <c r="C238" s="8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25"/>
      <c r="AO238" s="11"/>
    </row>
    <row r="239" spans="1:41" ht="12.75" customHeight="1" x14ac:dyDescent="0.2">
      <c r="A239" s="8"/>
      <c r="B239" s="17"/>
      <c r="C239" s="8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25"/>
      <c r="AO239" s="11"/>
    </row>
    <row r="240" spans="1:41" ht="12.75" customHeight="1" x14ac:dyDescent="0.2">
      <c r="A240" s="8"/>
      <c r="B240" s="17"/>
      <c r="C240" s="8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25"/>
      <c r="AO240" s="11"/>
    </row>
    <row r="241" spans="1:41" ht="12.75" customHeight="1" x14ac:dyDescent="0.2">
      <c r="A241" s="8"/>
      <c r="B241" s="17"/>
      <c r="C241" s="8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25"/>
      <c r="AO241" s="11"/>
    </row>
    <row r="242" spans="1:41" ht="12.75" customHeight="1" x14ac:dyDescent="0.2">
      <c r="A242" s="8"/>
      <c r="B242" s="17"/>
      <c r="C242" s="8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25"/>
      <c r="AO242" s="11"/>
    </row>
    <row r="243" spans="1:41" ht="12.75" customHeight="1" x14ac:dyDescent="0.2">
      <c r="A243" s="8"/>
      <c r="B243" s="17"/>
      <c r="C243" s="8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25"/>
      <c r="AO243" s="11"/>
    </row>
    <row r="244" spans="1:41" ht="12.75" customHeight="1" x14ac:dyDescent="0.2">
      <c r="A244" s="8"/>
      <c r="B244" s="17"/>
      <c r="C244" s="8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25"/>
      <c r="AO244" s="11"/>
    </row>
    <row r="245" spans="1:41" ht="12.75" customHeight="1" x14ac:dyDescent="0.2">
      <c r="A245" s="8"/>
      <c r="B245" s="17"/>
      <c r="C245" s="8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25"/>
      <c r="AO245" s="11"/>
    </row>
    <row r="246" spans="1:41" ht="12.75" customHeight="1" x14ac:dyDescent="0.2">
      <c r="A246" s="8"/>
      <c r="B246" s="17"/>
      <c r="C246" s="8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25"/>
      <c r="AO246" s="11"/>
    </row>
    <row r="247" spans="1:41" ht="12.75" customHeight="1" x14ac:dyDescent="0.2">
      <c r="A247" s="8"/>
      <c r="B247" s="17"/>
      <c r="C247" s="8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25"/>
      <c r="AO247" s="11"/>
    </row>
    <row r="248" spans="1:41" ht="12.75" customHeight="1" x14ac:dyDescent="0.2">
      <c r="A248" s="8"/>
      <c r="B248" s="17"/>
      <c r="C248" s="8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25"/>
      <c r="AO248" s="11"/>
    </row>
    <row r="249" spans="1:41" ht="12.75" customHeight="1" x14ac:dyDescent="0.2">
      <c r="A249" s="8"/>
      <c r="B249" s="17"/>
      <c r="C249" s="8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25"/>
      <c r="AO249" s="11"/>
    </row>
    <row r="250" spans="1:41" ht="12.75" customHeight="1" x14ac:dyDescent="0.2">
      <c r="A250" s="8"/>
      <c r="B250" s="17"/>
      <c r="C250" s="8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25"/>
      <c r="AO250" s="11"/>
    </row>
    <row r="251" spans="1:41" ht="12.75" customHeight="1" x14ac:dyDescent="0.2">
      <c r="A251" s="8"/>
      <c r="B251" s="17"/>
      <c r="C251" s="8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25"/>
      <c r="AO251" s="11"/>
    </row>
    <row r="252" spans="1:41" ht="12.75" customHeight="1" x14ac:dyDescent="0.2">
      <c r="A252" s="8"/>
      <c r="B252" s="17"/>
      <c r="C252" s="8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25"/>
      <c r="AO252" s="11"/>
    </row>
    <row r="253" spans="1:41" ht="12.75" customHeight="1" x14ac:dyDescent="0.2">
      <c r="A253" s="8"/>
      <c r="B253" s="17"/>
      <c r="C253" s="8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25"/>
      <c r="AO253" s="11"/>
    </row>
    <row r="254" spans="1:41" ht="12.75" customHeight="1" x14ac:dyDescent="0.2">
      <c r="A254" s="8"/>
      <c r="B254" s="17"/>
      <c r="C254" s="8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25"/>
      <c r="AO254" s="11"/>
    </row>
    <row r="255" spans="1:41" ht="12.75" customHeight="1" x14ac:dyDescent="0.2">
      <c r="A255" s="8"/>
      <c r="B255" s="17"/>
      <c r="C255" s="8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25"/>
      <c r="AO255" s="11"/>
    </row>
    <row r="256" spans="1:41" ht="12.75" customHeight="1" x14ac:dyDescent="0.2">
      <c r="A256" s="8"/>
      <c r="B256" s="17"/>
      <c r="C256" s="8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25"/>
      <c r="AO256" s="11"/>
    </row>
    <row r="257" spans="1:41" ht="12.75" customHeight="1" x14ac:dyDescent="0.2">
      <c r="A257" s="8"/>
      <c r="B257" s="17"/>
      <c r="C257" s="8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25"/>
      <c r="AO257" s="11"/>
    </row>
    <row r="258" spans="1:41" ht="12.75" customHeight="1" x14ac:dyDescent="0.2">
      <c r="A258" s="8"/>
      <c r="B258" s="17"/>
      <c r="C258" s="8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25"/>
      <c r="AO258" s="11"/>
    </row>
    <row r="259" spans="1:41" ht="12.75" customHeight="1" x14ac:dyDescent="0.2">
      <c r="A259" s="8"/>
      <c r="B259" s="17"/>
      <c r="C259" s="8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25"/>
      <c r="AO259" s="11"/>
    </row>
    <row r="260" spans="1:41" ht="12.75" customHeight="1" x14ac:dyDescent="0.2">
      <c r="A260" s="8"/>
      <c r="B260" s="17"/>
      <c r="C260" s="8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25"/>
      <c r="AO260" s="11"/>
    </row>
    <row r="261" spans="1:41" ht="12.75" customHeight="1" x14ac:dyDescent="0.2">
      <c r="A261" s="8"/>
      <c r="B261" s="17"/>
      <c r="C261" s="8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25"/>
      <c r="AO261" s="11"/>
    </row>
    <row r="262" spans="1:41" ht="12.75" customHeight="1" x14ac:dyDescent="0.2">
      <c r="A262" s="8"/>
      <c r="B262" s="17"/>
      <c r="C262" s="8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25"/>
      <c r="AO262" s="11"/>
    </row>
    <row r="263" spans="1:41" ht="12.75" customHeight="1" x14ac:dyDescent="0.2">
      <c r="A263" s="8"/>
      <c r="B263" s="17"/>
      <c r="C263" s="8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25"/>
      <c r="AO263" s="11"/>
    </row>
    <row r="264" spans="1:41" ht="12.75" customHeight="1" x14ac:dyDescent="0.2">
      <c r="A264" s="8"/>
      <c r="B264" s="17"/>
      <c r="C264" s="8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25"/>
      <c r="AO264" s="11"/>
    </row>
    <row r="265" spans="1:41" ht="12.75" customHeight="1" x14ac:dyDescent="0.2">
      <c r="A265" s="8"/>
      <c r="B265" s="17"/>
      <c r="C265" s="8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25"/>
      <c r="AO265" s="11"/>
    </row>
    <row r="266" spans="1:41" ht="12.75" customHeight="1" x14ac:dyDescent="0.2">
      <c r="A266" s="8"/>
      <c r="B266" s="17"/>
      <c r="C266" s="8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25"/>
      <c r="AO266" s="11"/>
    </row>
    <row r="267" spans="1:41" ht="12.75" customHeight="1" x14ac:dyDescent="0.2">
      <c r="A267" s="8"/>
      <c r="B267" s="17"/>
      <c r="C267" s="8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25"/>
      <c r="AO267" s="11"/>
    </row>
    <row r="268" spans="1:41" ht="12.75" customHeight="1" x14ac:dyDescent="0.2">
      <c r="A268" s="8"/>
      <c r="B268" s="17"/>
      <c r="C268" s="8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25"/>
      <c r="AO268" s="11"/>
    </row>
    <row r="269" spans="1:41" ht="12.75" customHeight="1" x14ac:dyDescent="0.2">
      <c r="A269" s="8"/>
      <c r="B269" s="17"/>
      <c r="C269" s="8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25"/>
      <c r="AO269" s="11"/>
    </row>
    <row r="270" spans="1:41" ht="12.75" customHeight="1" x14ac:dyDescent="0.2">
      <c r="A270" s="8"/>
      <c r="B270" s="17"/>
      <c r="C270" s="8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25"/>
      <c r="AO270" s="11"/>
    </row>
    <row r="271" spans="1:41" ht="12.75" customHeight="1" x14ac:dyDescent="0.2">
      <c r="A271" s="8"/>
      <c r="B271" s="17"/>
      <c r="C271" s="8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25"/>
      <c r="AO271" s="11"/>
    </row>
    <row r="272" spans="1:41" ht="12.75" customHeight="1" x14ac:dyDescent="0.2">
      <c r="A272" s="8"/>
      <c r="B272" s="17"/>
      <c r="C272" s="8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25"/>
      <c r="AO272" s="11"/>
    </row>
    <row r="273" spans="1:41" ht="12.75" customHeight="1" x14ac:dyDescent="0.2">
      <c r="A273" s="8"/>
      <c r="B273" s="17"/>
      <c r="C273" s="8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25"/>
      <c r="AO273" s="11"/>
    </row>
    <row r="274" spans="1:41" ht="12.75" customHeight="1" x14ac:dyDescent="0.2">
      <c r="A274" s="8"/>
      <c r="B274" s="17"/>
      <c r="C274" s="8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25"/>
      <c r="AO274" s="11"/>
    </row>
    <row r="275" spans="1:41" ht="12.75" customHeight="1" x14ac:dyDescent="0.2">
      <c r="A275" s="8"/>
      <c r="B275" s="17"/>
      <c r="C275" s="8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25"/>
      <c r="AO275" s="11"/>
    </row>
    <row r="276" spans="1:41" ht="12.75" customHeight="1" x14ac:dyDescent="0.2">
      <c r="A276" s="8"/>
      <c r="B276" s="17"/>
      <c r="C276" s="8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25"/>
      <c r="AO276" s="11"/>
    </row>
    <row r="277" spans="1:41" ht="12.75" customHeight="1" x14ac:dyDescent="0.2">
      <c r="A277" s="8"/>
      <c r="B277" s="17"/>
      <c r="C277" s="8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25"/>
      <c r="AO277" s="11"/>
    </row>
    <row r="278" spans="1:41" ht="12.75" customHeight="1" x14ac:dyDescent="0.2">
      <c r="A278" s="8"/>
      <c r="B278" s="17"/>
      <c r="C278" s="8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25"/>
      <c r="AO278" s="11"/>
    </row>
    <row r="279" spans="1:41" ht="12.75" customHeight="1" x14ac:dyDescent="0.2">
      <c r="A279" s="8"/>
      <c r="B279" s="17"/>
      <c r="C279" s="8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25"/>
      <c r="AO279" s="11"/>
    </row>
    <row r="280" spans="1:41" ht="12.75" customHeight="1" x14ac:dyDescent="0.2">
      <c r="A280" s="8"/>
      <c r="B280" s="17"/>
      <c r="C280" s="8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25"/>
      <c r="AO280" s="11"/>
    </row>
    <row r="281" spans="1:41" ht="12.75" customHeight="1" x14ac:dyDescent="0.2">
      <c r="A281" s="8"/>
      <c r="B281" s="17"/>
      <c r="C281" s="8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25"/>
      <c r="AO281" s="11"/>
    </row>
    <row r="282" spans="1:41" ht="12.75" customHeight="1" x14ac:dyDescent="0.2">
      <c r="A282" s="8"/>
      <c r="B282" s="17"/>
      <c r="C282" s="8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25"/>
      <c r="AO282" s="11"/>
    </row>
    <row r="283" spans="1:41" ht="12.75" customHeight="1" x14ac:dyDescent="0.2">
      <c r="A283" s="8"/>
      <c r="B283" s="17"/>
      <c r="C283" s="8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25"/>
      <c r="AO283" s="11"/>
    </row>
    <row r="284" spans="1:41" ht="12.75" customHeight="1" x14ac:dyDescent="0.2">
      <c r="A284" s="8"/>
      <c r="B284" s="17"/>
      <c r="C284" s="8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25"/>
      <c r="AO284" s="11"/>
    </row>
    <row r="285" spans="1:41" ht="12.75" customHeight="1" x14ac:dyDescent="0.2">
      <c r="A285" s="8"/>
      <c r="B285" s="17"/>
      <c r="C285" s="8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25"/>
      <c r="AO285" s="11"/>
    </row>
    <row r="286" spans="1:41" ht="12.75" customHeight="1" x14ac:dyDescent="0.2">
      <c r="A286" s="8"/>
      <c r="B286" s="17"/>
      <c r="C286" s="8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25"/>
      <c r="AO286" s="11"/>
    </row>
    <row r="287" spans="1:41" ht="12.75" customHeight="1" x14ac:dyDescent="0.2">
      <c r="A287" s="8"/>
      <c r="B287" s="17"/>
      <c r="C287" s="8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25"/>
      <c r="AO287" s="11"/>
    </row>
    <row r="288" spans="1:41" ht="12.75" customHeight="1" x14ac:dyDescent="0.2">
      <c r="A288" s="8"/>
      <c r="B288" s="17"/>
      <c r="C288" s="8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25"/>
      <c r="AO288" s="11"/>
    </row>
    <row r="289" spans="1:41" ht="12.75" customHeight="1" x14ac:dyDescent="0.2">
      <c r="A289" s="8"/>
      <c r="B289" s="17"/>
      <c r="C289" s="8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25"/>
      <c r="AO289" s="11"/>
    </row>
    <row r="290" spans="1:41" ht="12.75" customHeight="1" x14ac:dyDescent="0.2">
      <c r="A290" s="8"/>
      <c r="B290" s="17"/>
      <c r="C290" s="8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25"/>
      <c r="AO290" s="11"/>
    </row>
    <row r="291" spans="1:41" ht="12.75" customHeight="1" x14ac:dyDescent="0.2">
      <c r="A291" s="8"/>
      <c r="B291" s="17"/>
      <c r="C291" s="8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25"/>
      <c r="AO291" s="11"/>
    </row>
    <row r="292" spans="1:41" ht="12.75" customHeight="1" x14ac:dyDescent="0.2">
      <c r="A292" s="8"/>
      <c r="B292" s="17"/>
      <c r="C292" s="8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25"/>
      <c r="AO292" s="11"/>
    </row>
    <row r="293" spans="1:41" ht="12.75" customHeight="1" x14ac:dyDescent="0.2">
      <c r="A293" s="8"/>
      <c r="B293" s="17"/>
      <c r="C293" s="8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25"/>
      <c r="AO293" s="11"/>
    </row>
    <row r="294" spans="1:41" ht="12.75" customHeight="1" x14ac:dyDescent="0.2">
      <c r="A294" s="8"/>
      <c r="B294" s="17"/>
      <c r="C294" s="8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25"/>
      <c r="AO294" s="11"/>
    </row>
    <row r="295" spans="1:41" ht="12.75" customHeight="1" x14ac:dyDescent="0.2">
      <c r="A295" s="8"/>
      <c r="B295" s="17"/>
      <c r="C295" s="8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25"/>
      <c r="AO295" s="11"/>
    </row>
    <row r="296" spans="1:41" ht="12.75" customHeight="1" x14ac:dyDescent="0.2">
      <c r="A296" s="8"/>
      <c r="B296" s="17"/>
      <c r="C296" s="8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25"/>
      <c r="AO296" s="11"/>
    </row>
    <row r="297" spans="1:41" ht="12.75" customHeight="1" x14ac:dyDescent="0.2">
      <c r="A297" s="8"/>
      <c r="B297" s="17"/>
      <c r="C297" s="8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25"/>
      <c r="AO297" s="11"/>
    </row>
    <row r="298" spans="1:41" ht="12.75" customHeight="1" x14ac:dyDescent="0.2">
      <c r="A298" s="8"/>
      <c r="B298" s="17"/>
      <c r="C298" s="8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25"/>
      <c r="AO298" s="11"/>
    </row>
    <row r="299" spans="1:41" ht="12.75" customHeight="1" x14ac:dyDescent="0.2">
      <c r="A299" s="8"/>
      <c r="B299" s="17"/>
      <c r="C299" s="8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25"/>
      <c r="AO299" s="11"/>
    </row>
    <row r="300" spans="1:41" ht="12.75" customHeight="1" x14ac:dyDescent="0.2">
      <c r="A300" s="8"/>
      <c r="B300" s="17"/>
      <c r="C300" s="8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25"/>
      <c r="AO300" s="11"/>
    </row>
    <row r="301" spans="1:41" ht="12.75" customHeight="1" x14ac:dyDescent="0.2">
      <c r="A301" s="8"/>
      <c r="B301" s="17"/>
      <c r="C301" s="8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25"/>
      <c r="AO301" s="11"/>
    </row>
    <row r="302" spans="1:41" ht="12.75" customHeight="1" x14ac:dyDescent="0.2">
      <c r="A302" s="8"/>
      <c r="B302" s="17"/>
      <c r="C302" s="8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25"/>
      <c r="AO302" s="11"/>
    </row>
    <row r="303" spans="1:41" ht="12.75" customHeight="1" x14ac:dyDescent="0.2">
      <c r="A303" s="8"/>
      <c r="B303" s="17"/>
      <c r="C303" s="8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25"/>
      <c r="AO303" s="11"/>
    </row>
    <row r="304" spans="1:41" ht="12.75" customHeight="1" x14ac:dyDescent="0.2">
      <c r="A304" s="8"/>
      <c r="B304" s="17"/>
      <c r="C304" s="8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25"/>
      <c r="AO304" s="11"/>
    </row>
    <row r="305" spans="1:41" ht="12.75" customHeight="1" x14ac:dyDescent="0.2">
      <c r="A305" s="8"/>
      <c r="B305" s="17"/>
      <c r="C305" s="8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25"/>
      <c r="AO305" s="11"/>
    </row>
    <row r="306" spans="1:41" ht="12.75" customHeight="1" x14ac:dyDescent="0.2">
      <c r="A306" s="8"/>
      <c r="B306" s="17"/>
      <c r="C306" s="8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25"/>
      <c r="AO306" s="11"/>
    </row>
    <row r="307" spans="1:41" ht="12.75" customHeight="1" x14ac:dyDescent="0.2">
      <c r="A307" s="8"/>
      <c r="B307" s="17"/>
      <c r="C307" s="8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25"/>
      <c r="AO307" s="11"/>
    </row>
    <row r="308" spans="1:41" ht="12.75" customHeight="1" x14ac:dyDescent="0.2">
      <c r="A308" s="8"/>
      <c r="B308" s="17"/>
      <c r="C308" s="8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25"/>
      <c r="AO308" s="11"/>
    </row>
    <row r="309" spans="1:41" ht="12.75" customHeight="1" x14ac:dyDescent="0.2">
      <c r="A309" s="8"/>
      <c r="B309" s="17"/>
      <c r="C309" s="8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25"/>
      <c r="AO309" s="11"/>
    </row>
    <row r="310" spans="1:41" ht="12.75" customHeight="1" x14ac:dyDescent="0.2">
      <c r="A310" s="8"/>
      <c r="B310" s="17"/>
      <c r="C310" s="8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25"/>
      <c r="AO310" s="11"/>
    </row>
    <row r="311" spans="1:41" ht="12.75" customHeight="1" x14ac:dyDescent="0.2">
      <c r="A311" s="8"/>
      <c r="B311" s="17"/>
      <c r="C311" s="8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25"/>
      <c r="AO311" s="11"/>
    </row>
    <row r="312" spans="1:41" ht="12.75" customHeight="1" x14ac:dyDescent="0.2">
      <c r="A312" s="8"/>
      <c r="B312" s="17"/>
      <c r="C312" s="8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25"/>
      <c r="AO312" s="11"/>
    </row>
    <row r="313" spans="1:41" ht="12.75" customHeight="1" x14ac:dyDescent="0.2">
      <c r="A313" s="8"/>
      <c r="B313" s="17"/>
      <c r="C313" s="8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25"/>
      <c r="AO313" s="11"/>
    </row>
    <row r="314" spans="1:41" ht="12.75" customHeight="1" x14ac:dyDescent="0.2">
      <c r="A314" s="8"/>
      <c r="B314" s="17"/>
      <c r="C314" s="8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25"/>
      <c r="AO314" s="11"/>
    </row>
    <row r="315" spans="1:41" ht="12.75" customHeight="1" x14ac:dyDescent="0.2">
      <c r="A315" s="8"/>
      <c r="B315" s="17"/>
      <c r="C315" s="8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25"/>
      <c r="AO315" s="11"/>
    </row>
    <row r="316" spans="1:41" ht="12.75" customHeight="1" x14ac:dyDescent="0.2">
      <c r="A316" s="8"/>
      <c r="B316" s="17"/>
      <c r="C316" s="8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25"/>
      <c r="AO316" s="11"/>
    </row>
    <row r="317" spans="1:41" ht="12.75" customHeight="1" x14ac:dyDescent="0.2">
      <c r="A317" s="8"/>
      <c r="B317" s="17"/>
      <c r="C317" s="8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25"/>
      <c r="AO317" s="11"/>
    </row>
    <row r="318" spans="1:41" ht="12.75" customHeight="1" x14ac:dyDescent="0.2">
      <c r="A318" s="8"/>
      <c r="B318" s="17"/>
      <c r="C318" s="8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25"/>
      <c r="AO318" s="11"/>
    </row>
    <row r="319" spans="1:41" ht="12.75" customHeight="1" x14ac:dyDescent="0.2">
      <c r="A319" s="8"/>
      <c r="B319" s="17"/>
      <c r="C319" s="8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25"/>
      <c r="AO319" s="11"/>
    </row>
    <row r="320" spans="1:41" ht="12.75" customHeight="1" x14ac:dyDescent="0.2">
      <c r="A320" s="8"/>
      <c r="B320" s="17"/>
      <c r="C320" s="8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25"/>
      <c r="AO320" s="11"/>
    </row>
    <row r="321" spans="1:41" ht="12.75" customHeight="1" x14ac:dyDescent="0.2">
      <c r="A321" s="8"/>
      <c r="B321" s="17"/>
      <c r="C321" s="8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25"/>
      <c r="AO321" s="11"/>
    </row>
    <row r="322" spans="1:41" ht="12.75" customHeight="1" x14ac:dyDescent="0.2">
      <c r="A322" s="8"/>
      <c r="B322" s="17"/>
      <c r="C322" s="8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25"/>
      <c r="AO322" s="11"/>
    </row>
    <row r="323" spans="1:41" ht="12.75" customHeight="1" x14ac:dyDescent="0.2">
      <c r="A323" s="8"/>
      <c r="B323" s="17"/>
      <c r="C323" s="8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25"/>
      <c r="AO323" s="11"/>
    </row>
    <row r="324" spans="1:41" ht="12.75" customHeight="1" x14ac:dyDescent="0.2">
      <c r="A324" s="8"/>
      <c r="B324" s="17"/>
      <c r="C324" s="8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25"/>
      <c r="AO324" s="11"/>
    </row>
    <row r="325" spans="1:41" ht="12.75" customHeight="1" x14ac:dyDescent="0.2">
      <c r="A325" s="8"/>
      <c r="B325" s="17"/>
      <c r="C325" s="8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25"/>
      <c r="AO325" s="11"/>
    </row>
    <row r="326" spans="1:41" ht="12.75" customHeight="1" x14ac:dyDescent="0.2">
      <c r="A326" s="8"/>
      <c r="B326" s="17"/>
      <c r="C326" s="8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25"/>
      <c r="AO326" s="11"/>
    </row>
    <row r="327" spans="1:41" ht="12.75" customHeight="1" x14ac:dyDescent="0.2">
      <c r="A327" s="8"/>
      <c r="B327" s="17"/>
      <c r="C327" s="8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25"/>
      <c r="AO327" s="11"/>
    </row>
    <row r="328" spans="1:41" ht="12.75" customHeight="1" x14ac:dyDescent="0.2">
      <c r="A328" s="8"/>
      <c r="B328" s="17"/>
      <c r="C328" s="8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25"/>
      <c r="AO328" s="11"/>
    </row>
    <row r="329" spans="1:41" ht="12.75" customHeight="1" x14ac:dyDescent="0.2">
      <c r="A329" s="8"/>
      <c r="B329" s="17"/>
      <c r="C329" s="8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25"/>
      <c r="AO329" s="11"/>
    </row>
    <row r="330" spans="1:41" ht="12.75" customHeight="1" x14ac:dyDescent="0.2">
      <c r="A330" s="8"/>
      <c r="B330" s="17"/>
      <c r="C330" s="8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25"/>
      <c r="AO330" s="11"/>
    </row>
    <row r="331" spans="1:41" ht="12.75" customHeight="1" x14ac:dyDescent="0.2">
      <c r="A331" s="8"/>
      <c r="B331" s="17"/>
      <c r="C331" s="8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25"/>
      <c r="AO331" s="11"/>
    </row>
    <row r="332" spans="1:41" ht="12.75" customHeight="1" x14ac:dyDescent="0.2">
      <c r="A332" s="8"/>
      <c r="B332" s="17"/>
      <c r="C332" s="8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25"/>
      <c r="AO332" s="11"/>
    </row>
    <row r="333" spans="1:41" ht="12.75" customHeight="1" x14ac:dyDescent="0.2">
      <c r="A333" s="8"/>
      <c r="B333" s="17"/>
      <c r="C333" s="8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25"/>
      <c r="AO333" s="11"/>
    </row>
    <row r="334" spans="1:41" ht="12.75" customHeight="1" x14ac:dyDescent="0.2">
      <c r="A334" s="8"/>
      <c r="B334" s="17"/>
      <c r="C334" s="8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25"/>
      <c r="AO334" s="11"/>
    </row>
    <row r="335" spans="1:41" ht="12.75" customHeight="1" x14ac:dyDescent="0.2">
      <c r="A335" s="8"/>
      <c r="B335" s="17"/>
      <c r="C335" s="8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25"/>
      <c r="AO335" s="11"/>
    </row>
    <row r="336" spans="1:41" ht="12.75" customHeight="1" x14ac:dyDescent="0.2">
      <c r="A336" s="8"/>
      <c r="B336" s="17"/>
      <c r="C336" s="8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25"/>
      <c r="AO336" s="11"/>
    </row>
    <row r="337" spans="1:41" ht="12.75" customHeight="1" x14ac:dyDescent="0.2">
      <c r="A337" s="8"/>
      <c r="B337" s="17"/>
      <c r="C337" s="8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25"/>
      <c r="AO337" s="11"/>
    </row>
    <row r="338" spans="1:41" ht="12.75" customHeight="1" x14ac:dyDescent="0.2">
      <c r="A338" s="8"/>
      <c r="B338" s="17"/>
      <c r="C338" s="8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25"/>
      <c r="AO338" s="11"/>
    </row>
    <row r="339" spans="1:41" ht="12.75" customHeight="1" x14ac:dyDescent="0.2">
      <c r="A339" s="8"/>
      <c r="B339" s="17"/>
      <c r="C339" s="8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25"/>
      <c r="AO339" s="11"/>
    </row>
    <row r="340" spans="1:41" ht="12.75" customHeight="1" x14ac:dyDescent="0.2">
      <c r="A340" s="8"/>
      <c r="B340" s="17"/>
      <c r="C340" s="8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25"/>
      <c r="AO340" s="11"/>
    </row>
    <row r="341" spans="1:41" ht="12.75" customHeight="1" x14ac:dyDescent="0.2">
      <c r="A341" s="8"/>
      <c r="B341" s="17"/>
      <c r="C341" s="8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25"/>
      <c r="AO341" s="11"/>
    </row>
    <row r="342" spans="1:41" ht="12.75" customHeight="1" x14ac:dyDescent="0.2">
      <c r="A342" s="8"/>
      <c r="B342" s="17"/>
      <c r="C342" s="8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25"/>
      <c r="AO342" s="11"/>
    </row>
    <row r="343" spans="1:41" ht="12.75" customHeight="1" x14ac:dyDescent="0.2">
      <c r="A343" s="8"/>
      <c r="B343" s="17"/>
      <c r="C343" s="8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25"/>
      <c r="AO343" s="11"/>
    </row>
    <row r="344" spans="1:41" ht="12.75" customHeight="1" x14ac:dyDescent="0.2">
      <c r="A344" s="8"/>
      <c r="B344" s="17"/>
      <c r="C344" s="8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25"/>
      <c r="AO344" s="11"/>
    </row>
    <row r="345" spans="1:41" ht="12.75" customHeight="1" x14ac:dyDescent="0.2">
      <c r="A345" s="8"/>
      <c r="B345" s="17"/>
      <c r="C345" s="8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25"/>
      <c r="AO345" s="11"/>
    </row>
    <row r="346" spans="1:41" ht="12.75" customHeight="1" x14ac:dyDescent="0.2">
      <c r="A346" s="8"/>
      <c r="B346" s="17"/>
      <c r="C346" s="8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25"/>
      <c r="AO346" s="11"/>
    </row>
    <row r="347" spans="1:41" ht="12.75" customHeight="1" x14ac:dyDescent="0.2">
      <c r="A347" s="8"/>
      <c r="B347" s="17"/>
      <c r="C347" s="8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25"/>
      <c r="AO347" s="11"/>
    </row>
    <row r="348" spans="1:41" ht="12.75" customHeight="1" x14ac:dyDescent="0.2">
      <c r="A348" s="8"/>
      <c r="B348" s="17"/>
      <c r="C348" s="8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25"/>
      <c r="AO348" s="11"/>
    </row>
    <row r="349" spans="1:41" ht="12.75" customHeight="1" x14ac:dyDescent="0.2">
      <c r="A349" s="8"/>
      <c r="B349" s="17"/>
      <c r="C349" s="8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25"/>
      <c r="AO349" s="11"/>
    </row>
    <row r="350" spans="1:41" ht="12.75" customHeight="1" x14ac:dyDescent="0.2">
      <c r="A350" s="8"/>
      <c r="B350" s="17"/>
      <c r="C350" s="8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25"/>
      <c r="AO350" s="11"/>
    </row>
    <row r="351" spans="1:41" ht="12.75" customHeight="1" x14ac:dyDescent="0.2">
      <c r="A351" s="8"/>
      <c r="B351" s="17"/>
      <c r="C351" s="8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25"/>
      <c r="AO351" s="11"/>
    </row>
    <row r="352" spans="1:41" ht="12.75" customHeight="1" x14ac:dyDescent="0.2">
      <c r="A352" s="8"/>
      <c r="B352" s="17"/>
      <c r="C352" s="8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25"/>
      <c r="AO352" s="11"/>
    </row>
    <row r="353" spans="1:41" ht="12.75" customHeight="1" x14ac:dyDescent="0.2">
      <c r="A353" s="8"/>
      <c r="B353" s="17"/>
      <c r="C353" s="8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25"/>
      <c r="AO353" s="11"/>
    </row>
    <row r="354" spans="1:41" ht="12.75" customHeight="1" x14ac:dyDescent="0.2">
      <c r="A354" s="8"/>
      <c r="B354" s="17"/>
      <c r="C354" s="8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25"/>
      <c r="AO354" s="11"/>
    </row>
    <row r="355" spans="1:41" ht="12.75" customHeight="1" x14ac:dyDescent="0.2">
      <c r="A355" s="8"/>
      <c r="B355" s="17"/>
      <c r="C355" s="8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25"/>
      <c r="AO355" s="11"/>
    </row>
    <row r="356" spans="1:41" ht="12.75" customHeight="1" x14ac:dyDescent="0.2">
      <c r="A356" s="8"/>
      <c r="B356" s="17"/>
      <c r="C356" s="8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25"/>
      <c r="AO356" s="11"/>
    </row>
    <row r="357" spans="1:41" ht="12.75" customHeight="1" x14ac:dyDescent="0.2">
      <c r="A357" s="8"/>
      <c r="B357" s="17"/>
      <c r="C357" s="8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25"/>
      <c r="AO357" s="11"/>
    </row>
    <row r="358" spans="1:41" ht="12.75" customHeight="1" x14ac:dyDescent="0.2">
      <c r="A358" s="8"/>
      <c r="B358" s="17"/>
      <c r="C358" s="8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25"/>
      <c r="AO358" s="11"/>
    </row>
    <row r="359" spans="1:41" ht="12.75" customHeight="1" x14ac:dyDescent="0.2">
      <c r="A359" s="8"/>
      <c r="B359" s="17"/>
      <c r="C359" s="8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25"/>
      <c r="AO359" s="11"/>
    </row>
    <row r="360" spans="1:41" ht="12.75" customHeight="1" x14ac:dyDescent="0.2">
      <c r="A360" s="8"/>
      <c r="B360" s="17"/>
      <c r="C360" s="8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25"/>
      <c r="AO360" s="11"/>
    </row>
    <row r="361" spans="1:41" ht="12.75" customHeight="1" x14ac:dyDescent="0.2">
      <c r="A361" s="8"/>
      <c r="B361" s="17"/>
      <c r="C361" s="8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25"/>
      <c r="AO361" s="11"/>
    </row>
    <row r="362" spans="1:41" ht="12.75" customHeight="1" x14ac:dyDescent="0.2">
      <c r="A362" s="8"/>
      <c r="B362" s="17"/>
      <c r="C362" s="8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25"/>
      <c r="AO362" s="11"/>
    </row>
    <row r="363" spans="1:41" ht="12.75" customHeight="1" x14ac:dyDescent="0.2">
      <c r="A363" s="8"/>
      <c r="B363" s="17"/>
      <c r="C363" s="8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25"/>
      <c r="AO363" s="11"/>
    </row>
    <row r="364" spans="1:41" ht="12.75" customHeight="1" x14ac:dyDescent="0.2">
      <c r="A364" s="8"/>
      <c r="B364" s="17"/>
      <c r="C364" s="8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25"/>
      <c r="AO364" s="11"/>
    </row>
    <row r="365" spans="1:41" ht="12.75" customHeight="1" x14ac:dyDescent="0.2">
      <c r="A365" s="8"/>
      <c r="B365" s="17"/>
      <c r="C365" s="8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25"/>
      <c r="AO365" s="11"/>
    </row>
    <row r="366" spans="1:41" ht="12.75" customHeight="1" x14ac:dyDescent="0.2">
      <c r="A366" s="8"/>
      <c r="B366" s="17"/>
      <c r="C366" s="8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25"/>
      <c r="AO366" s="11"/>
    </row>
    <row r="367" spans="1:41" ht="12.75" customHeight="1" x14ac:dyDescent="0.2">
      <c r="A367" s="8"/>
      <c r="B367" s="17"/>
      <c r="C367" s="8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25"/>
      <c r="AO367" s="11"/>
    </row>
    <row r="368" spans="1:41" ht="12.75" customHeight="1" x14ac:dyDescent="0.2">
      <c r="A368" s="8"/>
      <c r="B368" s="17"/>
      <c r="C368" s="8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25"/>
      <c r="AO368" s="11"/>
    </row>
    <row r="369" spans="1:41" ht="12.75" customHeight="1" x14ac:dyDescent="0.2">
      <c r="A369" s="8"/>
      <c r="B369" s="17"/>
      <c r="C369" s="8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25"/>
      <c r="AO369" s="11"/>
    </row>
    <row r="370" spans="1:41" ht="12.75" customHeight="1" x14ac:dyDescent="0.2">
      <c r="A370" s="8"/>
      <c r="B370" s="17"/>
      <c r="C370" s="8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25"/>
      <c r="AO370" s="11"/>
    </row>
    <row r="371" spans="1:41" ht="12.75" customHeight="1" x14ac:dyDescent="0.2">
      <c r="A371" s="8"/>
      <c r="B371" s="17"/>
      <c r="C371" s="8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25"/>
      <c r="AO371" s="11"/>
    </row>
    <row r="372" spans="1:41" ht="12.75" customHeight="1" x14ac:dyDescent="0.2">
      <c r="A372" s="8"/>
      <c r="B372" s="17"/>
      <c r="C372" s="8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25"/>
      <c r="AO372" s="11"/>
    </row>
    <row r="373" spans="1:41" ht="12.75" customHeight="1" x14ac:dyDescent="0.2">
      <c r="A373" s="8"/>
      <c r="B373" s="17"/>
      <c r="C373" s="8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25"/>
      <c r="AO373" s="11"/>
    </row>
    <row r="374" spans="1:41" ht="12.75" customHeight="1" x14ac:dyDescent="0.2">
      <c r="A374" s="8"/>
      <c r="B374" s="17"/>
      <c r="C374" s="8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25"/>
      <c r="AO374" s="11"/>
    </row>
    <row r="375" spans="1:41" ht="12.75" customHeight="1" x14ac:dyDescent="0.2">
      <c r="A375" s="8"/>
      <c r="B375" s="17"/>
      <c r="C375" s="8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25"/>
      <c r="AO375" s="11"/>
    </row>
    <row r="376" spans="1:41" ht="12.75" customHeight="1" x14ac:dyDescent="0.2">
      <c r="A376" s="8"/>
      <c r="B376" s="17"/>
      <c r="C376" s="8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25"/>
      <c r="AO376" s="11"/>
    </row>
    <row r="377" spans="1:41" ht="12.75" customHeight="1" x14ac:dyDescent="0.2">
      <c r="A377" s="8"/>
      <c r="B377" s="17"/>
      <c r="C377" s="8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25"/>
      <c r="AO377" s="11"/>
    </row>
    <row r="378" spans="1:41" ht="12.75" customHeight="1" x14ac:dyDescent="0.2">
      <c r="A378" s="8"/>
      <c r="B378" s="17"/>
      <c r="C378" s="8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25"/>
      <c r="AO378" s="11"/>
    </row>
    <row r="379" spans="1:41" ht="12.75" customHeight="1" x14ac:dyDescent="0.2">
      <c r="A379" s="8"/>
      <c r="B379" s="17"/>
      <c r="C379" s="8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25"/>
      <c r="AO379" s="11"/>
    </row>
    <row r="380" spans="1:41" ht="12.75" customHeight="1" x14ac:dyDescent="0.2">
      <c r="A380" s="8"/>
      <c r="B380" s="17"/>
      <c r="C380" s="8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25"/>
      <c r="AO380" s="11"/>
    </row>
    <row r="381" spans="1:41" ht="12.75" customHeight="1" x14ac:dyDescent="0.2">
      <c r="A381" s="8"/>
      <c r="B381" s="17"/>
      <c r="C381" s="8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25"/>
      <c r="AO381" s="11"/>
    </row>
    <row r="382" spans="1:41" ht="12.75" customHeight="1" x14ac:dyDescent="0.2">
      <c r="A382" s="8"/>
      <c r="B382" s="17"/>
      <c r="C382" s="8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25"/>
      <c r="AO382" s="11"/>
    </row>
    <row r="383" spans="1:41" ht="12.75" customHeight="1" x14ac:dyDescent="0.2">
      <c r="A383" s="8"/>
      <c r="B383" s="17"/>
      <c r="C383" s="8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25"/>
      <c r="AO383" s="11"/>
    </row>
    <row r="384" spans="1:41" ht="12.75" customHeight="1" x14ac:dyDescent="0.2">
      <c r="A384" s="8"/>
      <c r="B384" s="17"/>
      <c r="C384" s="8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25"/>
      <c r="AO384" s="11"/>
    </row>
    <row r="385" spans="1:41" ht="12.75" customHeight="1" x14ac:dyDescent="0.2">
      <c r="A385" s="8"/>
      <c r="B385" s="17"/>
      <c r="C385" s="8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25"/>
      <c r="AO385" s="11"/>
    </row>
    <row r="386" spans="1:41" ht="12.75" customHeight="1" x14ac:dyDescent="0.2">
      <c r="A386" s="8"/>
      <c r="B386" s="17"/>
      <c r="C386" s="8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25"/>
      <c r="AO386" s="11"/>
    </row>
    <row r="387" spans="1:41" ht="12.75" customHeight="1" x14ac:dyDescent="0.2">
      <c r="A387" s="8"/>
      <c r="B387" s="17"/>
      <c r="C387" s="8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25"/>
      <c r="AO387" s="11"/>
    </row>
    <row r="388" spans="1:41" ht="12.75" customHeight="1" x14ac:dyDescent="0.2">
      <c r="A388" s="8"/>
      <c r="B388" s="17"/>
      <c r="C388" s="8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25"/>
      <c r="AO388" s="11"/>
    </row>
    <row r="389" spans="1:41" ht="12.75" customHeight="1" x14ac:dyDescent="0.2">
      <c r="A389" s="8"/>
      <c r="B389" s="17"/>
      <c r="C389" s="8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25"/>
      <c r="AO389" s="11"/>
    </row>
    <row r="390" spans="1:41" ht="12.75" customHeight="1" x14ac:dyDescent="0.2">
      <c r="A390" s="8"/>
      <c r="B390" s="17"/>
      <c r="C390" s="8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25"/>
      <c r="AO390" s="11"/>
    </row>
    <row r="391" spans="1:41" ht="12.75" customHeight="1" x14ac:dyDescent="0.2">
      <c r="A391" s="8"/>
      <c r="B391" s="17"/>
      <c r="C391" s="8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25"/>
      <c r="AO391" s="11"/>
    </row>
    <row r="392" spans="1:41" ht="12.75" customHeight="1" x14ac:dyDescent="0.2">
      <c r="A392" s="8"/>
      <c r="B392" s="17"/>
      <c r="C392" s="8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25"/>
      <c r="AO392" s="11"/>
    </row>
    <row r="393" spans="1:41" ht="12.75" customHeight="1" x14ac:dyDescent="0.2">
      <c r="A393" s="8"/>
      <c r="B393" s="17"/>
      <c r="C393" s="8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25"/>
      <c r="AO393" s="11"/>
    </row>
    <row r="394" spans="1:41" ht="12.75" customHeight="1" x14ac:dyDescent="0.2">
      <c r="A394" s="8"/>
      <c r="B394" s="17"/>
      <c r="C394" s="8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25"/>
      <c r="AO394" s="11"/>
    </row>
    <row r="395" spans="1:41" ht="12.75" customHeight="1" x14ac:dyDescent="0.2">
      <c r="A395" s="8"/>
      <c r="B395" s="17"/>
      <c r="C395" s="8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25"/>
      <c r="AO395" s="11"/>
    </row>
    <row r="396" spans="1:41" ht="12.75" customHeight="1" x14ac:dyDescent="0.2">
      <c r="A396" s="8"/>
      <c r="B396" s="17"/>
      <c r="C396" s="8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25"/>
      <c r="AO396" s="11"/>
    </row>
    <row r="397" spans="1:41" ht="12.75" customHeight="1" x14ac:dyDescent="0.2">
      <c r="A397" s="8"/>
      <c r="B397" s="17"/>
      <c r="C397" s="8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25"/>
      <c r="AO397" s="11"/>
    </row>
    <row r="398" spans="1:41" ht="12.75" customHeight="1" x14ac:dyDescent="0.2">
      <c r="A398" s="8"/>
      <c r="B398" s="17"/>
      <c r="C398" s="8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25"/>
      <c r="AO398" s="11"/>
    </row>
    <row r="399" spans="1:41" ht="12.75" customHeight="1" x14ac:dyDescent="0.2">
      <c r="A399" s="8"/>
      <c r="B399" s="17"/>
      <c r="C399" s="8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25"/>
      <c r="AO399" s="11"/>
    </row>
    <row r="400" spans="1:41" ht="12.75" customHeight="1" x14ac:dyDescent="0.2">
      <c r="A400" s="8"/>
      <c r="B400" s="17"/>
      <c r="C400" s="8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25"/>
      <c r="AO400" s="11"/>
    </row>
    <row r="401" spans="1:41" ht="12.75" customHeight="1" x14ac:dyDescent="0.2">
      <c r="A401" s="8"/>
      <c r="B401" s="17"/>
      <c r="C401" s="8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25"/>
      <c r="AO401" s="11"/>
    </row>
    <row r="402" spans="1:41" ht="12.75" customHeight="1" x14ac:dyDescent="0.2">
      <c r="A402" s="8"/>
      <c r="B402" s="17"/>
      <c r="C402" s="8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25"/>
      <c r="AO402" s="11"/>
    </row>
    <row r="403" spans="1:41" ht="12.75" customHeight="1" x14ac:dyDescent="0.2">
      <c r="A403" s="8"/>
      <c r="B403" s="17"/>
      <c r="C403" s="8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25"/>
      <c r="AO403" s="11"/>
    </row>
    <row r="404" spans="1:41" ht="12.75" customHeight="1" x14ac:dyDescent="0.2">
      <c r="A404" s="8"/>
      <c r="B404" s="17"/>
      <c r="C404" s="8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25"/>
      <c r="AO404" s="11"/>
    </row>
    <row r="405" spans="1:41" ht="12.75" customHeight="1" x14ac:dyDescent="0.2">
      <c r="A405" s="8"/>
      <c r="B405" s="17"/>
      <c r="C405" s="8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25"/>
      <c r="AO405" s="11"/>
    </row>
    <row r="406" spans="1:41" ht="12.75" customHeight="1" x14ac:dyDescent="0.2">
      <c r="A406" s="8"/>
      <c r="B406" s="17"/>
      <c r="C406" s="8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25"/>
      <c r="AO406" s="11"/>
    </row>
    <row r="407" spans="1:41" ht="12.75" customHeight="1" x14ac:dyDescent="0.2">
      <c r="A407" s="8"/>
      <c r="B407" s="17"/>
      <c r="C407" s="8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25"/>
      <c r="AO407" s="11"/>
    </row>
    <row r="408" spans="1:41" ht="12.75" customHeight="1" x14ac:dyDescent="0.2">
      <c r="A408" s="8"/>
      <c r="B408" s="17"/>
      <c r="C408" s="8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25"/>
      <c r="AO408" s="11"/>
    </row>
    <row r="409" spans="1:41" ht="12.75" customHeight="1" x14ac:dyDescent="0.2">
      <c r="A409" s="8"/>
      <c r="B409" s="17"/>
      <c r="C409" s="8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25"/>
      <c r="AO409" s="11"/>
    </row>
    <row r="410" spans="1:41" ht="12.75" customHeight="1" x14ac:dyDescent="0.2">
      <c r="A410" s="8"/>
      <c r="B410" s="17"/>
      <c r="C410" s="8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25"/>
      <c r="AO410" s="11"/>
    </row>
    <row r="411" spans="1:41" ht="12.75" customHeight="1" x14ac:dyDescent="0.2">
      <c r="A411" s="8"/>
      <c r="B411" s="17"/>
      <c r="C411" s="8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25"/>
      <c r="AO411" s="11"/>
    </row>
    <row r="412" spans="1:41" ht="12.75" customHeight="1" x14ac:dyDescent="0.2">
      <c r="A412" s="8"/>
      <c r="B412" s="17"/>
      <c r="C412" s="8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25"/>
      <c r="AO412" s="11"/>
    </row>
    <row r="413" spans="1:41" ht="12.75" customHeight="1" x14ac:dyDescent="0.2">
      <c r="A413" s="8"/>
      <c r="B413" s="17"/>
      <c r="C413" s="8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25"/>
      <c r="AO413" s="11"/>
    </row>
    <row r="414" spans="1:41" ht="12.75" customHeight="1" x14ac:dyDescent="0.2">
      <c r="A414" s="8"/>
      <c r="B414" s="17"/>
      <c r="C414" s="8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25"/>
      <c r="AO414" s="11"/>
    </row>
    <row r="415" spans="1:41" ht="12.75" customHeight="1" x14ac:dyDescent="0.2">
      <c r="A415" s="8"/>
      <c r="B415" s="17"/>
      <c r="C415" s="8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25"/>
      <c r="AO415" s="11"/>
    </row>
    <row r="416" spans="1:41" ht="12.75" customHeight="1" x14ac:dyDescent="0.2">
      <c r="A416" s="8"/>
      <c r="B416" s="17"/>
      <c r="C416" s="8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25"/>
      <c r="AO416" s="11"/>
    </row>
    <row r="417" spans="1:41" ht="12.75" customHeight="1" x14ac:dyDescent="0.2">
      <c r="A417" s="8"/>
      <c r="B417" s="17"/>
      <c r="C417" s="8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25"/>
      <c r="AO417" s="11"/>
    </row>
    <row r="418" spans="1:41" ht="12.75" customHeight="1" x14ac:dyDescent="0.2">
      <c r="A418" s="8"/>
      <c r="B418" s="17"/>
      <c r="C418" s="8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25"/>
      <c r="AO418" s="11"/>
    </row>
    <row r="419" spans="1:41" ht="12.75" customHeight="1" x14ac:dyDescent="0.2">
      <c r="A419" s="8"/>
      <c r="B419" s="17"/>
      <c r="C419" s="8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25"/>
      <c r="AO419" s="11"/>
    </row>
    <row r="420" spans="1:41" ht="12.75" customHeight="1" x14ac:dyDescent="0.2">
      <c r="A420" s="8"/>
      <c r="B420" s="17"/>
      <c r="C420" s="8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25"/>
      <c r="AO420" s="11"/>
    </row>
    <row r="421" spans="1:41" ht="12.75" customHeight="1" x14ac:dyDescent="0.2">
      <c r="A421" s="8"/>
      <c r="B421" s="17"/>
      <c r="C421" s="8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25"/>
      <c r="AO421" s="11"/>
    </row>
    <row r="422" spans="1:41" ht="12.75" customHeight="1" x14ac:dyDescent="0.2">
      <c r="A422" s="8"/>
      <c r="B422" s="17"/>
      <c r="C422" s="8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25"/>
      <c r="AO422" s="11"/>
    </row>
    <row r="423" spans="1:41" ht="12.75" customHeight="1" x14ac:dyDescent="0.2">
      <c r="A423" s="8"/>
      <c r="B423" s="17"/>
      <c r="C423" s="8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25"/>
      <c r="AO423" s="11"/>
    </row>
    <row r="424" spans="1:41" ht="12.75" customHeight="1" x14ac:dyDescent="0.2">
      <c r="A424" s="8"/>
      <c r="B424" s="17"/>
      <c r="C424" s="8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25"/>
      <c r="AO424" s="11"/>
    </row>
    <row r="425" spans="1:41" ht="12.75" customHeight="1" x14ac:dyDescent="0.2">
      <c r="A425" s="8"/>
      <c r="B425" s="17"/>
      <c r="C425" s="8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25"/>
      <c r="AO425" s="11"/>
    </row>
    <row r="426" spans="1:41" ht="12.75" customHeight="1" x14ac:dyDescent="0.2">
      <c r="A426" s="8"/>
      <c r="B426" s="17"/>
      <c r="C426" s="8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25"/>
      <c r="AO426" s="11"/>
    </row>
    <row r="427" spans="1:41" ht="12.75" customHeight="1" x14ac:dyDescent="0.2">
      <c r="A427" s="8"/>
      <c r="B427" s="17"/>
      <c r="C427" s="8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25"/>
      <c r="AO427" s="11"/>
    </row>
    <row r="428" spans="1:41" ht="12.75" customHeight="1" x14ac:dyDescent="0.2">
      <c r="A428" s="8"/>
      <c r="B428" s="17"/>
      <c r="C428" s="8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25"/>
      <c r="AO428" s="11"/>
    </row>
    <row r="429" spans="1:41" ht="12.75" customHeight="1" x14ac:dyDescent="0.2">
      <c r="A429" s="8"/>
      <c r="B429" s="17"/>
      <c r="C429" s="8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25"/>
      <c r="AO429" s="11"/>
    </row>
    <row r="430" spans="1:41" ht="12.75" customHeight="1" x14ac:dyDescent="0.2">
      <c r="A430" s="8"/>
      <c r="B430" s="17"/>
      <c r="C430" s="8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25"/>
      <c r="AO430" s="11"/>
    </row>
    <row r="431" spans="1:41" ht="12.75" customHeight="1" x14ac:dyDescent="0.2">
      <c r="A431" s="8"/>
      <c r="B431" s="17"/>
      <c r="C431" s="8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25"/>
      <c r="AO431" s="11"/>
    </row>
    <row r="432" spans="1:41" ht="12.75" customHeight="1" x14ac:dyDescent="0.2">
      <c r="A432" s="8"/>
      <c r="B432" s="17"/>
      <c r="C432" s="8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25"/>
      <c r="AO432" s="11"/>
    </row>
    <row r="433" spans="1:41" ht="12.75" customHeight="1" x14ac:dyDescent="0.2">
      <c r="A433" s="8"/>
      <c r="B433" s="17"/>
      <c r="C433" s="8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25"/>
      <c r="AO433" s="11"/>
    </row>
    <row r="434" spans="1:41" ht="12.75" customHeight="1" x14ac:dyDescent="0.2">
      <c r="A434" s="8"/>
      <c r="B434" s="17"/>
      <c r="C434" s="8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25"/>
      <c r="AO434" s="11"/>
    </row>
    <row r="435" spans="1:41" ht="12.75" customHeight="1" x14ac:dyDescent="0.2">
      <c r="A435" s="8"/>
      <c r="B435" s="17"/>
      <c r="C435" s="8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25"/>
      <c r="AO435" s="11"/>
    </row>
    <row r="436" spans="1:41" ht="12.75" customHeight="1" x14ac:dyDescent="0.2">
      <c r="A436" s="8"/>
      <c r="B436" s="17"/>
      <c r="C436" s="8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25"/>
      <c r="AO436" s="11"/>
    </row>
    <row r="437" spans="1:41" ht="12.75" customHeight="1" x14ac:dyDescent="0.2">
      <c r="A437" s="8"/>
      <c r="B437" s="17"/>
      <c r="C437" s="8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25"/>
      <c r="AO437" s="11"/>
    </row>
    <row r="438" spans="1:41" ht="12.75" customHeight="1" x14ac:dyDescent="0.2">
      <c r="A438" s="8"/>
      <c r="B438" s="17"/>
      <c r="C438" s="8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25"/>
      <c r="AO438" s="11"/>
    </row>
    <row r="439" spans="1:41" ht="12.75" customHeight="1" x14ac:dyDescent="0.2">
      <c r="A439" s="8"/>
      <c r="B439" s="17"/>
      <c r="C439" s="8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25"/>
      <c r="AO439" s="11"/>
    </row>
    <row r="440" spans="1:41" ht="12.75" customHeight="1" x14ac:dyDescent="0.2">
      <c r="A440" s="8"/>
      <c r="B440" s="17"/>
      <c r="C440" s="8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25"/>
      <c r="AO440" s="11"/>
    </row>
    <row r="441" spans="1:41" ht="12.75" customHeight="1" x14ac:dyDescent="0.2">
      <c r="A441" s="8"/>
      <c r="B441" s="17"/>
      <c r="C441" s="8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25"/>
      <c r="AO441" s="11"/>
    </row>
    <row r="442" spans="1:41" ht="12.75" customHeight="1" x14ac:dyDescent="0.2">
      <c r="A442" s="8"/>
      <c r="B442" s="17"/>
      <c r="C442" s="8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25"/>
      <c r="AO442" s="11"/>
    </row>
    <row r="443" spans="1:41" ht="12.75" customHeight="1" x14ac:dyDescent="0.2">
      <c r="A443" s="8"/>
      <c r="B443" s="17"/>
      <c r="C443" s="8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25"/>
      <c r="AO443" s="11"/>
    </row>
    <row r="444" spans="1:41" ht="12.75" customHeight="1" x14ac:dyDescent="0.2">
      <c r="A444" s="8"/>
      <c r="B444" s="17"/>
      <c r="C444" s="8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25"/>
      <c r="AO444" s="11"/>
    </row>
    <row r="445" spans="1:41" ht="12.75" customHeight="1" x14ac:dyDescent="0.2">
      <c r="A445" s="8"/>
      <c r="B445" s="17"/>
      <c r="C445" s="8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25"/>
      <c r="AO445" s="11"/>
    </row>
    <row r="446" spans="1:41" ht="12.75" customHeight="1" x14ac:dyDescent="0.2">
      <c r="A446" s="8"/>
      <c r="B446" s="17"/>
      <c r="C446" s="8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25"/>
      <c r="AO446" s="11"/>
    </row>
    <row r="447" spans="1:41" ht="12.75" customHeight="1" x14ac:dyDescent="0.2">
      <c r="A447" s="8"/>
      <c r="B447" s="17"/>
      <c r="C447" s="8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25"/>
      <c r="AO447" s="11"/>
    </row>
    <row r="448" spans="1:41" ht="12.75" customHeight="1" x14ac:dyDescent="0.2">
      <c r="A448" s="8"/>
      <c r="B448" s="17"/>
      <c r="C448" s="8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25"/>
      <c r="AO448" s="11"/>
    </row>
    <row r="449" spans="1:41" ht="12.75" customHeight="1" x14ac:dyDescent="0.2">
      <c r="A449" s="8"/>
      <c r="B449" s="17"/>
      <c r="C449" s="8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25"/>
      <c r="AO449" s="11"/>
    </row>
    <row r="450" spans="1:41" ht="12.75" customHeight="1" x14ac:dyDescent="0.2">
      <c r="A450" s="8"/>
      <c r="B450" s="17"/>
      <c r="C450" s="8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25"/>
      <c r="AO450" s="11"/>
    </row>
    <row r="451" spans="1:41" ht="12.75" customHeight="1" x14ac:dyDescent="0.2">
      <c r="A451" s="8"/>
      <c r="B451" s="17"/>
      <c r="C451" s="8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25"/>
      <c r="AO451" s="11"/>
    </row>
    <row r="452" spans="1:41" ht="12.75" customHeight="1" x14ac:dyDescent="0.2">
      <c r="A452" s="8"/>
      <c r="B452" s="17"/>
      <c r="C452" s="8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25"/>
      <c r="AO452" s="11"/>
    </row>
    <row r="453" spans="1:41" ht="12.75" customHeight="1" x14ac:dyDescent="0.2">
      <c r="A453" s="8"/>
      <c r="B453" s="17"/>
      <c r="C453" s="8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25"/>
      <c r="AO453" s="11"/>
    </row>
    <row r="454" spans="1:41" ht="12.75" customHeight="1" x14ac:dyDescent="0.2">
      <c r="A454" s="8"/>
      <c r="B454" s="17"/>
      <c r="C454" s="8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25"/>
      <c r="AO454" s="11"/>
    </row>
    <row r="455" spans="1:41" ht="12.75" customHeight="1" x14ac:dyDescent="0.2">
      <c r="A455" s="8"/>
      <c r="B455" s="17"/>
      <c r="C455" s="8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25"/>
      <c r="AO455" s="11"/>
    </row>
    <row r="456" spans="1:41" ht="12.75" customHeight="1" x14ac:dyDescent="0.2">
      <c r="A456" s="8"/>
      <c r="B456" s="17"/>
      <c r="C456" s="8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25"/>
      <c r="AO456" s="11"/>
    </row>
    <row r="457" spans="1:41" ht="12.75" customHeight="1" x14ac:dyDescent="0.2">
      <c r="A457" s="8"/>
      <c r="B457" s="17"/>
      <c r="C457" s="8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25"/>
      <c r="AO457" s="11"/>
    </row>
    <row r="458" spans="1:41" ht="12.75" customHeight="1" x14ac:dyDescent="0.2">
      <c r="A458" s="8"/>
      <c r="B458" s="17"/>
      <c r="C458" s="8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25"/>
      <c r="AO458" s="11"/>
    </row>
    <row r="459" spans="1:41" ht="12.75" customHeight="1" x14ac:dyDescent="0.2">
      <c r="A459" s="8"/>
      <c r="B459" s="17"/>
      <c r="C459" s="8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25"/>
      <c r="AO459" s="11"/>
    </row>
    <row r="460" spans="1:41" ht="12.75" customHeight="1" x14ac:dyDescent="0.2">
      <c r="A460" s="8"/>
      <c r="B460" s="17"/>
      <c r="C460" s="8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25"/>
      <c r="AO460" s="11"/>
    </row>
    <row r="461" spans="1:41" ht="12.75" customHeight="1" x14ac:dyDescent="0.2">
      <c r="A461" s="8"/>
      <c r="B461" s="17"/>
      <c r="C461" s="8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25"/>
      <c r="AO461" s="11"/>
    </row>
    <row r="462" spans="1:41" ht="12.75" customHeight="1" x14ac:dyDescent="0.2">
      <c r="A462" s="8"/>
      <c r="B462" s="17"/>
      <c r="C462" s="8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25"/>
      <c r="AO462" s="11"/>
    </row>
    <row r="463" spans="1:41" ht="12.75" customHeight="1" x14ac:dyDescent="0.2">
      <c r="A463" s="8"/>
      <c r="B463" s="17"/>
      <c r="C463" s="8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25"/>
      <c r="AO463" s="11"/>
    </row>
    <row r="464" spans="1:41" ht="12.75" customHeight="1" x14ac:dyDescent="0.2">
      <c r="A464" s="8"/>
      <c r="B464" s="17"/>
      <c r="C464" s="8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25"/>
      <c r="AO464" s="11"/>
    </row>
    <row r="465" spans="1:41" ht="12.75" customHeight="1" x14ac:dyDescent="0.2">
      <c r="A465" s="8"/>
      <c r="B465" s="17"/>
      <c r="C465" s="8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25"/>
      <c r="AO465" s="11"/>
    </row>
    <row r="466" spans="1:41" ht="12.75" customHeight="1" x14ac:dyDescent="0.2">
      <c r="A466" s="8"/>
      <c r="B466" s="17"/>
      <c r="C466" s="8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25"/>
      <c r="AO466" s="11"/>
    </row>
    <row r="467" spans="1:41" ht="12.75" customHeight="1" x14ac:dyDescent="0.2">
      <c r="A467" s="8"/>
      <c r="B467" s="17"/>
      <c r="C467" s="8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25"/>
      <c r="AO467" s="11"/>
    </row>
    <row r="468" spans="1:41" ht="12.75" customHeight="1" x14ac:dyDescent="0.2">
      <c r="A468" s="8"/>
      <c r="B468" s="17"/>
      <c r="C468" s="8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25"/>
      <c r="AO468" s="11"/>
    </row>
    <row r="469" spans="1:41" ht="12.75" customHeight="1" x14ac:dyDescent="0.2">
      <c r="A469" s="8"/>
      <c r="B469" s="17"/>
      <c r="C469" s="8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25"/>
      <c r="AO469" s="11"/>
    </row>
    <row r="470" spans="1:41" ht="12.75" customHeight="1" x14ac:dyDescent="0.2">
      <c r="A470" s="8"/>
      <c r="B470" s="17"/>
      <c r="C470" s="8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25"/>
      <c r="AO470" s="11"/>
    </row>
    <row r="471" spans="1:41" ht="12.75" customHeight="1" x14ac:dyDescent="0.2">
      <c r="A471" s="8"/>
      <c r="B471" s="17"/>
      <c r="C471" s="8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25"/>
      <c r="AO471" s="11"/>
    </row>
    <row r="472" spans="1:41" ht="12.75" customHeight="1" x14ac:dyDescent="0.2">
      <c r="A472" s="8"/>
      <c r="B472" s="17"/>
      <c r="C472" s="8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25"/>
      <c r="AO472" s="11"/>
    </row>
    <row r="473" spans="1:41" ht="12.75" customHeight="1" x14ac:dyDescent="0.2">
      <c r="A473" s="8"/>
      <c r="B473" s="17"/>
      <c r="C473" s="8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25"/>
      <c r="AO473" s="11"/>
    </row>
    <row r="474" spans="1:41" ht="12.75" customHeight="1" x14ac:dyDescent="0.2">
      <c r="A474" s="8"/>
      <c r="B474" s="17"/>
      <c r="C474" s="8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25"/>
      <c r="AO474" s="11"/>
    </row>
    <row r="475" spans="1:41" ht="12.75" customHeight="1" x14ac:dyDescent="0.2">
      <c r="A475" s="8"/>
      <c r="B475" s="17"/>
      <c r="C475" s="8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25"/>
      <c r="AO475" s="11"/>
    </row>
    <row r="476" spans="1:41" ht="12.75" customHeight="1" x14ac:dyDescent="0.2">
      <c r="A476" s="8"/>
      <c r="B476" s="17"/>
      <c r="C476" s="8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25"/>
      <c r="AO476" s="11"/>
    </row>
    <row r="477" spans="1:41" ht="12.75" customHeight="1" x14ac:dyDescent="0.2">
      <c r="A477" s="8"/>
      <c r="B477" s="17"/>
      <c r="C477" s="8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25"/>
      <c r="AO477" s="11"/>
    </row>
    <row r="478" spans="1:41" ht="12.75" customHeight="1" x14ac:dyDescent="0.2">
      <c r="A478" s="8"/>
      <c r="B478" s="17"/>
      <c r="C478" s="8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25"/>
      <c r="AO478" s="11"/>
    </row>
    <row r="479" spans="1:41" ht="12.75" customHeight="1" x14ac:dyDescent="0.2">
      <c r="A479" s="8"/>
      <c r="B479" s="17"/>
      <c r="C479" s="8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25"/>
      <c r="AO479" s="11"/>
    </row>
    <row r="480" spans="1:41" ht="12.75" customHeight="1" x14ac:dyDescent="0.2">
      <c r="A480" s="8"/>
      <c r="B480" s="17"/>
      <c r="C480" s="8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25"/>
      <c r="AO480" s="11"/>
    </row>
    <row r="481" spans="1:41" ht="12.75" customHeight="1" x14ac:dyDescent="0.2">
      <c r="A481" s="8"/>
      <c r="B481" s="17"/>
      <c r="C481" s="8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25"/>
      <c r="AO481" s="11"/>
    </row>
    <row r="482" spans="1:41" ht="12.75" customHeight="1" x14ac:dyDescent="0.2">
      <c r="A482" s="8"/>
      <c r="B482" s="17"/>
      <c r="C482" s="8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25"/>
      <c r="AO482" s="11"/>
    </row>
    <row r="483" spans="1:41" ht="12.75" customHeight="1" x14ac:dyDescent="0.2">
      <c r="A483" s="8"/>
      <c r="B483" s="17"/>
      <c r="C483" s="8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25"/>
      <c r="AO483" s="11"/>
    </row>
    <row r="484" spans="1:41" ht="12.75" customHeight="1" x14ac:dyDescent="0.2">
      <c r="A484" s="8"/>
      <c r="B484" s="17"/>
      <c r="C484" s="8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25"/>
      <c r="AO484" s="11"/>
    </row>
    <row r="485" spans="1:41" ht="12.75" customHeight="1" x14ac:dyDescent="0.2">
      <c r="A485" s="8"/>
      <c r="B485" s="17"/>
      <c r="C485" s="8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25"/>
      <c r="AO485" s="11"/>
    </row>
    <row r="486" spans="1:41" ht="12.75" customHeight="1" x14ac:dyDescent="0.2">
      <c r="A486" s="8"/>
      <c r="B486" s="17"/>
      <c r="C486" s="8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25"/>
      <c r="AO486" s="11"/>
    </row>
    <row r="487" spans="1:41" ht="12.75" customHeight="1" x14ac:dyDescent="0.2">
      <c r="A487" s="8"/>
      <c r="B487" s="17"/>
      <c r="C487" s="8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25"/>
      <c r="AO487" s="11"/>
    </row>
    <row r="488" spans="1:41" ht="12.75" customHeight="1" x14ac:dyDescent="0.2">
      <c r="A488" s="8"/>
      <c r="B488" s="17"/>
      <c r="C488" s="8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25"/>
      <c r="AO488" s="11"/>
    </row>
    <row r="489" spans="1:41" ht="12.75" customHeight="1" x14ac:dyDescent="0.2">
      <c r="A489" s="8"/>
      <c r="B489" s="17"/>
      <c r="C489" s="8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25"/>
      <c r="AO489" s="11"/>
    </row>
    <row r="490" spans="1:41" ht="12.75" customHeight="1" x14ac:dyDescent="0.2">
      <c r="A490" s="8"/>
      <c r="B490" s="17"/>
      <c r="C490" s="8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25"/>
      <c r="AO490" s="11"/>
    </row>
    <row r="491" spans="1:41" ht="12.75" customHeight="1" x14ac:dyDescent="0.2">
      <c r="A491" s="8"/>
      <c r="B491" s="17"/>
      <c r="C491" s="8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25"/>
      <c r="AO491" s="11"/>
    </row>
    <row r="492" spans="1:41" ht="12.75" customHeight="1" x14ac:dyDescent="0.2">
      <c r="A492" s="8"/>
      <c r="B492" s="17"/>
      <c r="C492" s="8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25"/>
      <c r="AO492" s="11"/>
    </row>
    <row r="493" spans="1:41" ht="12.75" customHeight="1" x14ac:dyDescent="0.2">
      <c r="A493" s="8"/>
      <c r="B493" s="17"/>
      <c r="C493" s="8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25"/>
      <c r="AO493" s="11"/>
    </row>
    <row r="494" spans="1:41" ht="12.75" customHeight="1" x14ac:dyDescent="0.2">
      <c r="A494" s="8"/>
      <c r="B494" s="17"/>
      <c r="C494" s="8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25"/>
      <c r="AO494" s="11"/>
    </row>
    <row r="495" spans="1:41" ht="12.75" customHeight="1" x14ac:dyDescent="0.2">
      <c r="A495" s="8"/>
      <c r="B495" s="17"/>
      <c r="C495" s="8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25"/>
      <c r="AO495" s="11"/>
    </row>
    <row r="496" spans="1:41" ht="12.75" customHeight="1" x14ac:dyDescent="0.2">
      <c r="A496" s="8"/>
      <c r="B496" s="17"/>
      <c r="C496" s="8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25"/>
      <c r="AO496" s="11"/>
    </row>
    <row r="497" spans="1:41" ht="12.75" customHeight="1" x14ac:dyDescent="0.2">
      <c r="A497" s="8"/>
      <c r="B497" s="17"/>
      <c r="C497" s="8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25"/>
      <c r="AO497" s="11"/>
    </row>
    <row r="498" spans="1:41" ht="12.75" customHeight="1" x14ac:dyDescent="0.2">
      <c r="A498" s="8"/>
      <c r="B498" s="17"/>
      <c r="C498" s="8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25"/>
      <c r="AO498" s="11"/>
    </row>
    <row r="499" spans="1:41" ht="12.75" customHeight="1" x14ac:dyDescent="0.2">
      <c r="A499" s="8"/>
      <c r="B499" s="17"/>
      <c r="C499" s="8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25"/>
      <c r="AO499" s="11"/>
    </row>
    <row r="500" spans="1:41" ht="12.75" customHeight="1" x14ac:dyDescent="0.2">
      <c r="A500" s="8"/>
      <c r="B500" s="17"/>
      <c r="C500" s="8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25"/>
      <c r="AO500" s="11"/>
    </row>
    <row r="501" spans="1:41" ht="12.75" customHeight="1" x14ac:dyDescent="0.2">
      <c r="A501" s="8"/>
      <c r="B501" s="17"/>
      <c r="C501" s="8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25"/>
      <c r="AO501" s="11"/>
    </row>
    <row r="502" spans="1:41" ht="12.75" customHeight="1" x14ac:dyDescent="0.2">
      <c r="A502" s="8"/>
      <c r="B502" s="17"/>
      <c r="C502" s="8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25"/>
      <c r="AO502" s="11"/>
    </row>
    <row r="503" spans="1:41" ht="12.75" customHeight="1" x14ac:dyDescent="0.2">
      <c r="A503" s="8"/>
      <c r="B503" s="17"/>
      <c r="C503" s="8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25"/>
      <c r="AO503" s="11"/>
    </row>
    <row r="504" spans="1:41" ht="12.75" customHeight="1" x14ac:dyDescent="0.2">
      <c r="A504" s="8"/>
      <c r="B504" s="17"/>
      <c r="C504" s="8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25"/>
      <c r="AO504" s="11"/>
    </row>
    <row r="505" spans="1:41" ht="12.75" customHeight="1" x14ac:dyDescent="0.2">
      <c r="A505" s="8"/>
      <c r="B505" s="17"/>
      <c r="C505" s="8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25"/>
      <c r="AO505" s="11"/>
    </row>
    <row r="506" spans="1:41" ht="12.75" customHeight="1" x14ac:dyDescent="0.2">
      <c r="A506" s="8"/>
      <c r="B506" s="17"/>
      <c r="C506" s="8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25"/>
      <c r="AO506" s="11"/>
    </row>
    <row r="507" spans="1:41" ht="12.75" customHeight="1" x14ac:dyDescent="0.2">
      <c r="A507" s="8"/>
      <c r="B507" s="17"/>
      <c r="C507" s="8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25"/>
      <c r="AO507" s="11"/>
    </row>
    <row r="508" spans="1:41" ht="12.75" customHeight="1" x14ac:dyDescent="0.2">
      <c r="A508" s="8"/>
      <c r="B508" s="17"/>
      <c r="C508" s="8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25"/>
      <c r="AO508" s="11"/>
    </row>
    <row r="509" spans="1:41" ht="12.75" customHeight="1" x14ac:dyDescent="0.2">
      <c r="A509" s="8"/>
      <c r="B509" s="17"/>
      <c r="C509" s="8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25"/>
      <c r="AO509" s="11"/>
    </row>
    <row r="510" spans="1:41" ht="12.75" customHeight="1" x14ac:dyDescent="0.2">
      <c r="A510" s="8"/>
      <c r="B510" s="17"/>
      <c r="C510" s="8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25"/>
      <c r="AO510" s="11"/>
    </row>
    <row r="511" spans="1:41" ht="12.75" customHeight="1" x14ac:dyDescent="0.2">
      <c r="A511" s="8"/>
      <c r="B511" s="17"/>
      <c r="C511" s="8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25"/>
      <c r="AO511" s="11"/>
    </row>
    <row r="512" spans="1:41" ht="12.75" customHeight="1" x14ac:dyDescent="0.2">
      <c r="A512" s="8"/>
      <c r="B512" s="17"/>
      <c r="C512" s="8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25"/>
      <c r="AO512" s="11"/>
    </row>
    <row r="513" spans="1:41" ht="12.75" customHeight="1" x14ac:dyDescent="0.2">
      <c r="A513" s="8"/>
      <c r="B513" s="17"/>
      <c r="C513" s="8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25"/>
      <c r="AO513" s="11"/>
    </row>
    <row r="514" spans="1:41" ht="12.75" customHeight="1" x14ac:dyDescent="0.2">
      <c r="A514" s="8"/>
      <c r="B514" s="17"/>
      <c r="C514" s="8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25"/>
      <c r="AO514" s="11"/>
    </row>
    <row r="515" spans="1:41" ht="12.75" customHeight="1" x14ac:dyDescent="0.2">
      <c r="A515" s="8"/>
      <c r="B515" s="17"/>
      <c r="C515" s="8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25"/>
      <c r="AO515" s="11"/>
    </row>
    <row r="516" spans="1:41" ht="12.75" customHeight="1" x14ac:dyDescent="0.2">
      <c r="A516" s="8"/>
      <c r="B516" s="17"/>
      <c r="C516" s="8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25"/>
      <c r="AO516" s="11"/>
    </row>
    <row r="517" spans="1:41" ht="12.75" customHeight="1" x14ac:dyDescent="0.2">
      <c r="A517" s="8"/>
      <c r="B517" s="17"/>
      <c r="C517" s="8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25"/>
      <c r="AO517" s="11"/>
    </row>
    <row r="518" spans="1:41" ht="12.75" customHeight="1" x14ac:dyDescent="0.2">
      <c r="A518" s="8"/>
      <c r="B518" s="17"/>
      <c r="C518" s="8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25"/>
      <c r="AO518" s="11"/>
    </row>
    <row r="519" spans="1:41" ht="12.75" customHeight="1" x14ac:dyDescent="0.2">
      <c r="A519" s="8"/>
      <c r="B519" s="17"/>
      <c r="C519" s="8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25"/>
      <c r="AO519" s="11"/>
    </row>
    <row r="520" spans="1:41" ht="12.75" customHeight="1" x14ac:dyDescent="0.2">
      <c r="A520" s="8"/>
      <c r="B520" s="17"/>
      <c r="C520" s="8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25"/>
      <c r="AO520" s="11"/>
    </row>
    <row r="521" spans="1:41" ht="12.75" customHeight="1" x14ac:dyDescent="0.2">
      <c r="A521" s="8"/>
      <c r="B521" s="17"/>
      <c r="C521" s="8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25"/>
      <c r="AO521" s="11"/>
    </row>
    <row r="522" spans="1:41" ht="12.75" customHeight="1" x14ac:dyDescent="0.2">
      <c r="A522" s="8"/>
      <c r="B522" s="17"/>
      <c r="C522" s="8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25"/>
      <c r="AO522" s="11"/>
    </row>
    <row r="523" spans="1:41" ht="12.75" customHeight="1" x14ac:dyDescent="0.2">
      <c r="A523" s="8"/>
      <c r="B523" s="17"/>
      <c r="C523" s="8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25"/>
      <c r="AO523" s="11"/>
    </row>
    <row r="524" spans="1:41" ht="12.75" customHeight="1" x14ac:dyDescent="0.2">
      <c r="A524" s="8"/>
      <c r="B524" s="17"/>
      <c r="C524" s="8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25"/>
      <c r="AO524" s="11"/>
    </row>
    <row r="525" spans="1:41" ht="12.75" customHeight="1" x14ac:dyDescent="0.2">
      <c r="A525" s="8"/>
      <c r="B525" s="17"/>
      <c r="C525" s="8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25"/>
      <c r="AO525" s="11"/>
    </row>
    <row r="526" spans="1:41" ht="12.75" customHeight="1" x14ac:dyDescent="0.2">
      <c r="A526" s="8"/>
      <c r="B526" s="17"/>
      <c r="C526" s="8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25"/>
      <c r="AO526" s="11"/>
    </row>
    <row r="527" spans="1:41" ht="12.75" customHeight="1" x14ac:dyDescent="0.2">
      <c r="A527" s="8"/>
      <c r="B527" s="17"/>
      <c r="C527" s="8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25"/>
      <c r="AO527" s="11"/>
    </row>
    <row r="528" spans="1:41" ht="12.75" customHeight="1" x14ac:dyDescent="0.2">
      <c r="A528" s="8"/>
      <c r="B528" s="17"/>
      <c r="C528" s="8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25"/>
      <c r="AO528" s="11"/>
    </row>
    <row r="529" spans="1:41" ht="12.75" customHeight="1" x14ac:dyDescent="0.2">
      <c r="A529" s="8"/>
      <c r="B529" s="17"/>
      <c r="C529" s="8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25"/>
      <c r="AO529" s="11"/>
    </row>
    <row r="530" spans="1:41" ht="12.75" customHeight="1" x14ac:dyDescent="0.2">
      <c r="A530" s="8"/>
      <c r="B530" s="17"/>
      <c r="C530" s="8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25"/>
      <c r="AO530" s="11"/>
    </row>
    <row r="531" spans="1:41" ht="12.75" customHeight="1" x14ac:dyDescent="0.2">
      <c r="A531" s="8"/>
      <c r="B531" s="17"/>
      <c r="C531" s="8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25"/>
      <c r="AO531" s="11"/>
    </row>
    <row r="532" spans="1:41" ht="12.75" customHeight="1" x14ac:dyDescent="0.2">
      <c r="A532" s="8"/>
      <c r="B532" s="17"/>
      <c r="C532" s="8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25"/>
      <c r="AO532" s="11"/>
    </row>
    <row r="533" spans="1:41" ht="12.75" customHeight="1" x14ac:dyDescent="0.2">
      <c r="A533" s="8"/>
      <c r="B533" s="17"/>
      <c r="C533" s="8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25"/>
      <c r="AO533" s="11"/>
    </row>
    <row r="534" spans="1:41" ht="12.75" customHeight="1" x14ac:dyDescent="0.2">
      <c r="A534" s="8"/>
      <c r="B534" s="17"/>
      <c r="C534" s="8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25"/>
      <c r="AO534" s="11"/>
    </row>
    <row r="535" spans="1:41" ht="12.75" customHeight="1" x14ac:dyDescent="0.2">
      <c r="A535" s="8"/>
      <c r="B535" s="17"/>
      <c r="C535" s="8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25"/>
      <c r="AO535" s="11"/>
    </row>
    <row r="536" spans="1:41" ht="12.75" customHeight="1" x14ac:dyDescent="0.2">
      <c r="A536" s="8"/>
      <c r="B536" s="17"/>
      <c r="C536" s="8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25"/>
      <c r="AO536" s="11"/>
    </row>
    <row r="537" spans="1:41" ht="12.75" customHeight="1" x14ac:dyDescent="0.2">
      <c r="A537" s="8"/>
      <c r="B537" s="17"/>
      <c r="C537" s="8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25"/>
      <c r="AO537" s="11"/>
    </row>
    <row r="538" spans="1:41" ht="12.75" customHeight="1" x14ac:dyDescent="0.2">
      <c r="A538" s="8"/>
      <c r="B538" s="17"/>
      <c r="C538" s="8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25"/>
      <c r="AO538" s="11"/>
    </row>
    <row r="539" spans="1:41" ht="12.75" customHeight="1" x14ac:dyDescent="0.2">
      <c r="A539" s="8"/>
      <c r="B539" s="17"/>
      <c r="C539" s="8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25"/>
      <c r="AO539" s="11"/>
    </row>
    <row r="540" spans="1:41" ht="12.75" customHeight="1" x14ac:dyDescent="0.2">
      <c r="A540" s="8"/>
      <c r="B540" s="17"/>
      <c r="C540" s="8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25"/>
      <c r="AO540" s="11"/>
    </row>
    <row r="541" spans="1:41" ht="12.75" customHeight="1" x14ac:dyDescent="0.2">
      <c r="A541" s="8"/>
      <c r="B541" s="17"/>
      <c r="C541" s="8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25"/>
      <c r="AO541" s="11"/>
    </row>
    <row r="542" spans="1:41" ht="12.75" customHeight="1" x14ac:dyDescent="0.2">
      <c r="A542" s="8"/>
      <c r="B542" s="17"/>
      <c r="C542" s="8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25"/>
      <c r="AO542" s="11"/>
    </row>
    <row r="543" spans="1:41" ht="12.75" customHeight="1" x14ac:dyDescent="0.2">
      <c r="A543" s="8"/>
      <c r="B543" s="17"/>
      <c r="C543" s="8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25"/>
      <c r="AO543" s="11"/>
    </row>
    <row r="544" spans="1:41" ht="12.75" customHeight="1" x14ac:dyDescent="0.2">
      <c r="A544" s="8"/>
      <c r="B544" s="17"/>
      <c r="C544" s="8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25"/>
      <c r="AO544" s="11"/>
    </row>
    <row r="545" spans="1:41" ht="12.75" customHeight="1" x14ac:dyDescent="0.2">
      <c r="A545" s="8"/>
      <c r="B545" s="17"/>
      <c r="C545" s="8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25"/>
      <c r="AO545" s="11"/>
    </row>
    <row r="546" spans="1:41" ht="12.75" customHeight="1" x14ac:dyDescent="0.2">
      <c r="A546" s="8"/>
      <c r="B546" s="17"/>
      <c r="C546" s="8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25"/>
      <c r="AO546" s="11"/>
    </row>
    <row r="547" spans="1:41" ht="12.75" customHeight="1" x14ac:dyDescent="0.2">
      <c r="A547" s="8"/>
      <c r="B547" s="17"/>
      <c r="C547" s="8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25"/>
      <c r="AO547" s="11"/>
    </row>
    <row r="548" spans="1:41" ht="12.75" customHeight="1" x14ac:dyDescent="0.2">
      <c r="A548" s="8"/>
      <c r="B548" s="17"/>
      <c r="C548" s="8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25"/>
      <c r="AO548" s="11"/>
    </row>
    <row r="549" spans="1:41" ht="12.75" customHeight="1" x14ac:dyDescent="0.2">
      <c r="A549" s="8"/>
      <c r="B549" s="17"/>
      <c r="C549" s="8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25"/>
      <c r="AO549" s="11"/>
    </row>
    <row r="550" spans="1:41" ht="12.75" customHeight="1" x14ac:dyDescent="0.2">
      <c r="A550" s="8"/>
      <c r="B550" s="17"/>
      <c r="C550" s="8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25"/>
      <c r="AO550" s="11"/>
    </row>
    <row r="551" spans="1:41" ht="12.75" customHeight="1" x14ac:dyDescent="0.2">
      <c r="A551" s="8"/>
      <c r="B551" s="17"/>
      <c r="C551" s="8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25"/>
      <c r="AO551" s="11"/>
    </row>
    <row r="552" spans="1:41" ht="12.75" customHeight="1" x14ac:dyDescent="0.2">
      <c r="A552" s="8"/>
      <c r="B552" s="17"/>
      <c r="C552" s="8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25"/>
      <c r="AO552" s="11"/>
    </row>
    <row r="553" spans="1:41" ht="12.75" customHeight="1" x14ac:dyDescent="0.2">
      <c r="A553" s="8"/>
      <c r="B553" s="17"/>
      <c r="C553" s="8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25"/>
      <c r="AO553" s="11"/>
    </row>
    <row r="554" spans="1:41" ht="12.75" customHeight="1" x14ac:dyDescent="0.2">
      <c r="A554" s="8"/>
      <c r="B554" s="17"/>
      <c r="C554" s="8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25"/>
      <c r="AO554" s="11"/>
    </row>
    <row r="555" spans="1:41" ht="12.75" customHeight="1" x14ac:dyDescent="0.2">
      <c r="A555" s="8"/>
      <c r="B555" s="17"/>
      <c r="C555" s="8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25"/>
      <c r="AO555" s="11"/>
    </row>
    <row r="556" spans="1:41" ht="12.75" customHeight="1" x14ac:dyDescent="0.2">
      <c r="A556" s="8"/>
      <c r="B556" s="17"/>
      <c r="C556" s="8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25"/>
      <c r="AO556" s="11"/>
    </row>
    <row r="557" spans="1:41" ht="12.75" customHeight="1" x14ac:dyDescent="0.2">
      <c r="A557" s="8"/>
      <c r="B557" s="17"/>
      <c r="C557" s="8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25"/>
      <c r="AO557" s="11"/>
    </row>
    <row r="558" spans="1:41" ht="12.75" customHeight="1" x14ac:dyDescent="0.2">
      <c r="A558" s="8"/>
      <c r="B558" s="17"/>
      <c r="C558" s="8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25"/>
      <c r="AO558" s="11"/>
    </row>
    <row r="559" spans="1:41" ht="12.75" customHeight="1" x14ac:dyDescent="0.2">
      <c r="A559" s="8"/>
      <c r="B559" s="17"/>
      <c r="C559" s="8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25"/>
      <c r="AO559" s="11"/>
    </row>
    <row r="560" spans="1:41" ht="12.75" customHeight="1" x14ac:dyDescent="0.2">
      <c r="A560" s="8"/>
      <c r="B560" s="17"/>
      <c r="C560" s="8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25"/>
      <c r="AO560" s="11"/>
    </row>
    <row r="561" spans="1:41" ht="12.75" customHeight="1" x14ac:dyDescent="0.2">
      <c r="A561" s="8"/>
      <c r="B561" s="17"/>
      <c r="C561" s="8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25"/>
      <c r="AO561" s="11"/>
    </row>
    <row r="562" spans="1:41" ht="12.75" customHeight="1" x14ac:dyDescent="0.2">
      <c r="A562" s="8"/>
      <c r="B562" s="17"/>
      <c r="C562" s="8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25"/>
      <c r="AO562" s="11"/>
    </row>
    <row r="563" spans="1:41" ht="12.75" customHeight="1" x14ac:dyDescent="0.2">
      <c r="A563" s="8"/>
      <c r="B563" s="17"/>
      <c r="C563" s="8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25"/>
      <c r="AO563" s="11"/>
    </row>
    <row r="564" spans="1:41" ht="12.75" customHeight="1" x14ac:dyDescent="0.2">
      <c r="A564" s="8"/>
      <c r="B564" s="17"/>
      <c r="C564" s="8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25"/>
      <c r="AO564" s="11"/>
    </row>
    <row r="565" spans="1:41" ht="12.75" customHeight="1" x14ac:dyDescent="0.2">
      <c r="A565" s="8"/>
      <c r="B565" s="17"/>
      <c r="C565" s="8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25"/>
      <c r="AO565" s="11"/>
    </row>
    <row r="566" spans="1:41" ht="12.75" customHeight="1" x14ac:dyDescent="0.2">
      <c r="A566" s="8"/>
      <c r="B566" s="17"/>
      <c r="C566" s="8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25"/>
      <c r="AO566" s="11"/>
    </row>
    <row r="567" spans="1:41" ht="12.75" customHeight="1" x14ac:dyDescent="0.2">
      <c r="A567" s="8"/>
      <c r="B567" s="17"/>
      <c r="C567" s="8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25"/>
      <c r="AO567" s="11"/>
    </row>
    <row r="568" spans="1:41" ht="12.75" customHeight="1" x14ac:dyDescent="0.2">
      <c r="A568" s="8"/>
      <c r="B568" s="17"/>
      <c r="C568" s="8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25"/>
      <c r="AO568" s="11"/>
    </row>
    <row r="569" spans="1:41" ht="12.75" customHeight="1" x14ac:dyDescent="0.2">
      <c r="A569" s="8"/>
      <c r="B569" s="17"/>
      <c r="C569" s="8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25"/>
      <c r="AO569" s="11"/>
    </row>
    <row r="570" spans="1:41" ht="12.75" customHeight="1" x14ac:dyDescent="0.2">
      <c r="A570" s="8"/>
      <c r="B570" s="17"/>
      <c r="C570" s="8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25"/>
      <c r="AO570" s="11"/>
    </row>
    <row r="571" spans="1:41" ht="12.75" customHeight="1" x14ac:dyDescent="0.2">
      <c r="A571" s="8"/>
      <c r="B571" s="17"/>
      <c r="C571" s="8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25"/>
      <c r="AO571" s="11"/>
    </row>
    <row r="572" spans="1:41" ht="12.75" customHeight="1" x14ac:dyDescent="0.2">
      <c r="A572" s="8"/>
      <c r="B572" s="17"/>
      <c r="C572" s="8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25"/>
      <c r="AO572" s="11"/>
    </row>
    <row r="573" spans="1:41" ht="12.75" customHeight="1" x14ac:dyDescent="0.2">
      <c r="A573" s="8"/>
      <c r="B573" s="17"/>
      <c r="C573" s="8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25"/>
      <c r="AO573" s="11"/>
    </row>
    <row r="574" spans="1:41" ht="12.75" customHeight="1" x14ac:dyDescent="0.2">
      <c r="A574" s="8"/>
      <c r="B574" s="17"/>
      <c r="C574" s="8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25"/>
      <c r="AO574" s="11"/>
    </row>
    <row r="575" spans="1:41" ht="12.75" customHeight="1" x14ac:dyDescent="0.2">
      <c r="A575" s="8"/>
      <c r="B575" s="17"/>
      <c r="C575" s="8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25"/>
      <c r="AO575" s="11"/>
    </row>
    <row r="576" spans="1:41" ht="12.75" customHeight="1" x14ac:dyDescent="0.2">
      <c r="A576" s="8"/>
      <c r="B576" s="17"/>
      <c r="C576" s="8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25"/>
      <c r="AO576" s="11"/>
    </row>
    <row r="577" spans="1:41" ht="12.75" customHeight="1" x14ac:dyDescent="0.2">
      <c r="A577" s="8"/>
      <c r="B577" s="17"/>
      <c r="C577" s="8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25"/>
      <c r="AO577" s="11"/>
    </row>
    <row r="578" spans="1:41" ht="12.75" customHeight="1" x14ac:dyDescent="0.2">
      <c r="A578" s="8"/>
      <c r="B578" s="17"/>
      <c r="C578" s="8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25"/>
      <c r="AO578" s="11"/>
    </row>
    <row r="579" spans="1:41" ht="12.75" customHeight="1" x14ac:dyDescent="0.2">
      <c r="A579" s="8"/>
      <c r="B579" s="17"/>
      <c r="C579" s="8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25"/>
      <c r="AO579" s="11"/>
    </row>
    <row r="580" spans="1:41" ht="12.75" customHeight="1" x14ac:dyDescent="0.2">
      <c r="A580" s="8"/>
      <c r="B580" s="17"/>
      <c r="C580" s="8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25"/>
      <c r="AO580" s="11"/>
    </row>
    <row r="581" spans="1:41" ht="12.75" customHeight="1" x14ac:dyDescent="0.2">
      <c r="A581" s="8"/>
      <c r="B581" s="17"/>
      <c r="C581" s="8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25"/>
      <c r="AO581" s="11"/>
    </row>
    <row r="582" spans="1:41" ht="12.75" customHeight="1" x14ac:dyDescent="0.2">
      <c r="A582" s="8"/>
      <c r="B582" s="17"/>
      <c r="C582" s="8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25"/>
      <c r="AO582" s="11"/>
    </row>
    <row r="583" spans="1:41" ht="12.75" customHeight="1" x14ac:dyDescent="0.2">
      <c r="A583" s="8"/>
      <c r="B583" s="17"/>
      <c r="C583" s="8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25"/>
      <c r="AO583" s="11"/>
    </row>
    <row r="584" spans="1:41" ht="12.75" customHeight="1" x14ac:dyDescent="0.2">
      <c r="A584" s="8"/>
      <c r="B584" s="17"/>
      <c r="C584" s="8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25"/>
      <c r="AO584" s="11"/>
    </row>
    <row r="585" spans="1:41" ht="12.75" customHeight="1" x14ac:dyDescent="0.2">
      <c r="A585" s="8"/>
      <c r="B585" s="17"/>
      <c r="C585" s="8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25"/>
      <c r="AO585" s="11"/>
    </row>
    <row r="586" spans="1:41" ht="12.75" customHeight="1" x14ac:dyDescent="0.2">
      <c r="A586" s="8"/>
      <c r="B586" s="17"/>
      <c r="C586" s="8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25"/>
      <c r="AO586" s="11"/>
    </row>
    <row r="587" spans="1:41" ht="12.75" customHeight="1" x14ac:dyDescent="0.2">
      <c r="A587" s="8"/>
      <c r="B587" s="17"/>
      <c r="C587" s="8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25"/>
      <c r="AO587" s="11"/>
    </row>
    <row r="588" spans="1:41" ht="12.75" customHeight="1" x14ac:dyDescent="0.2">
      <c r="A588" s="8"/>
      <c r="B588" s="17"/>
      <c r="C588" s="8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25"/>
      <c r="AO588" s="11"/>
    </row>
    <row r="589" spans="1:41" ht="12.75" customHeight="1" x14ac:dyDescent="0.2">
      <c r="A589" s="8"/>
      <c r="B589" s="17"/>
      <c r="C589" s="8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25"/>
      <c r="AO589" s="11"/>
    </row>
    <row r="590" spans="1:41" ht="12.75" customHeight="1" x14ac:dyDescent="0.2">
      <c r="A590" s="8"/>
      <c r="B590" s="17"/>
      <c r="C590" s="8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25"/>
      <c r="AO590" s="11"/>
    </row>
    <row r="591" spans="1:41" ht="12.75" customHeight="1" x14ac:dyDescent="0.2">
      <c r="A591" s="8"/>
      <c r="B591" s="17"/>
      <c r="C591" s="8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25"/>
      <c r="AO591" s="11"/>
    </row>
    <row r="592" spans="1:41" ht="12.75" customHeight="1" x14ac:dyDescent="0.2">
      <c r="A592" s="8"/>
      <c r="B592" s="17"/>
      <c r="C592" s="8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25"/>
      <c r="AO592" s="11"/>
    </row>
    <row r="593" spans="1:41" ht="12.75" customHeight="1" x14ac:dyDescent="0.2">
      <c r="A593" s="8"/>
      <c r="B593" s="17"/>
      <c r="C593" s="8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25"/>
      <c r="AO593" s="11"/>
    </row>
    <row r="594" spans="1:41" ht="12.75" customHeight="1" x14ac:dyDescent="0.2">
      <c r="A594" s="8"/>
      <c r="B594" s="17"/>
      <c r="C594" s="8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25"/>
      <c r="AO594" s="11"/>
    </row>
    <row r="595" spans="1:41" ht="12.75" customHeight="1" x14ac:dyDescent="0.2">
      <c r="A595" s="8"/>
      <c r="B595" s="17"/>
      <c r="C595" s="8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25"/>
      <c r="AO595" s="11"/>
    </row>
    <row r="596" spans="1:41" ht="12.75" customHeight="1" x14ac:dyDescent="0.2">
      <c r="A596" s="8"/>
      <c r="B596" s="17"/>
      <c r="C596" s="8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25"/>
      <c r="AO596" s="11"/>
    </row>
    <row r="597" spans="1:41" ht="12.75" customHeight="1" x14ac:dyDescent="0.2">
      <c r="A597" s="8"/>
      <c r="B597" s="17"/>
      <c r="C597" s="8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25"/>
      <c r="AO597" s="11"/>
    </row>
    <row r="598" spans="1:41" ht="12.75" customHeight="1" x14ac:dyDescent="0.2">
      <c r="A598" s="8"/>
      <c r="B598" s="17"/>
      <c r="C598" s="8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25"/>
      <c r="AO598" s="11"/>
    </row>
    <row r="599" spans="1:41" ht="12.75" customHeight="1" x14ac:dyDescent="0.2">
      <c r="A599" s="8"/>
      <c r="B599" s="17"/>
      <c r="C599" s="8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25"/>
      <c r="AO599" s="11"/>
    </row>
    <row r="600" spans="1:41" ht="12.75" customHeight="1" x14ac:dyDescent="0.2">
      <c r="A600" s="8"/>
      <c r="B600" s="17"/>
      <c r="C600" s="8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25"/>
      <c r="AO600" s="11"/>
    </row>
    <row r="601" spans="1:41" ht="12.75" customHeight="1" x14ac:dyDescent="0.2">
      <c r="A601" s="8"/>
      <c r="B601" s="17"/>
      <c r="C601" s="8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25"/>
      <c r="AO601" s="11"/>
    </row>
    <row r="602" spans="1:41" ht="12.75" customHeight="1" x14ac:dyDescent="0.2">
      <c r="A602" s="8"/>
      <c r="B602" s="17"/>
      <c r="C602" s="8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25"/>
      <c r="AO602" s="11"/>
    </row>
    <row r="603" spans="1:41" ht="12.75" customHeight="1" x14ac:dyDescent="0.2">
      <c r="A603" s="8"/>
      <c r="B603" s="17"/>
      <c r="C603" s="8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25"/>
      <c r="AO603" s="11"/>
    </row>
    <row r="604" spans="1:41" ht="12.75" customHeight="1" x14ac:dyDescent="0.2">
      <c r="A604" s="8"/>
      <c r="B604" s="17"/>
      <c r="C604" s="8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25"/>
      <c r="AO604" s="11"/>
    </row>
    <row r="605" spans="1:41" ht="12.75" customHeight="1" x14ac:dyDescent="0.2">
      <c r="A605" s="8"/>
      <c r="B605" s="17"/>
      <c r="C605" s="8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25"/>
      <c r="AO605" s="11"/>
    </row>
    <row r="606" spans="1:41" ht="12.75" customHeight="1" x14ac:dyDescent="0.2">
      <c r="A606" s="8"/>
      <c r="B606" s="17"/>
      <c r="C606" s="8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25"/>
      <c r="AO606" s="11"/>
    </row>
    <row r="607" spans="1:41" ht="12.75" customHeight="1" x14ac:dyDescent="0.2">
      <c r="A607" s="8"/>
      <c r="B607" s="17"/>
      <c r="C607" s="8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25"/>
      <c r="AO607" s="11"/>
    </row>
    <row r="608" spans="1:41" ht="12.75" customHeight="1" x14ac:dyDescent="0.2">
      <c r="A608" s="8"/>
      <c r="B608" s="17"/>
      <c r="C608" s="8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25"/>
      <c r="AO608" s="11"/>
    </row>
    <row r="609" spans="1:41" ht="12.75" customHeight="1" x14ac:dyDescent="0.2">
      <c r="A609" s="8"/>
      <c r="B609" s="17"/>
      <c r="C609" s="8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25"/>
      <c r="AO609" s="11"/>
    </row>
    <row r="610" spans="1:41" ht="12.75" customHeight="1" x14ac:dyDescent="0.2">
      <c r="A610" s="8"/>
      <c r="B610" s="17"/>
      <c r="C610" s="8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25"/>
      <c r="AO610" s="11"/>
    </row>
    <row r="611" spans="1:41" ht="12.75" customHeight="1" x14ac:dyDescent="0.2">
      <c r="A611" s="8"/>
      <c r="B611" s="17"/>
      <c r="C611" s="8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25"/>
      <c r="AO611" s="11"/>
    </row>
    <row r="612" spans="1:41" ht="12.75" customHeight="1" x14ac:dyDescent="0.2">
      <c r="A612" s="8"/>
      <c r="B612" s="17"/>
      <c r="C612" s="8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25"/>
      <c r="AO612" s="11"/>
    </row>
    <row r="613" spans="1:41" ht="12.75" customHeight="1" x14ac:dyDescent="0.2">
      <c r="A613" s="8"/>
      <c r="B613" s="17"/>
      <c r="C613" s="8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25"/>
      <c r="AO613" s="11"/>
    </row>
    <row r="614" spans="1:41" ht="12.75" customHeight="1" x14ac:dyDescent="0.2">
      <c r="A614" s="8"/>
      <c r="B614" s="17"/>
      <c r="C614" s="8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25"/>
      <c r="AO614" s="11"/>
    </row>
    <row r="615" spans="1:41" ht="12.75" customHeight="1" x14ac:dyDescent="0.2">
      <c r="A615" s="8"/>
      <c r="B615" s="17"/>
      <c r="C615" s="8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25"/>
      <c r="AO615" s="11"/>
    </row>
    <row r="616" spans="1:41" ht="12.75" customHeight="1" x14ac:dyDescent="0.2">
      <c r="A616" s="8"/>
      <c r="B616" s="17"/>
      <c r="C616" s="8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25"/>
      <c r="AO616" s="11"/>
    </row>
    <row r="617" spans="1:41" ht="12.75" customHeight="1" x14ac:dyDescent="0.2">
      <c r="A617" s="8"/>
      <c r="B617" s="17"/>
      <c r="C617" s="8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25"/>
      <c r="AO617" s="11"/>
    </row>
    <row r="618" spans="1:41" ht="12.75" customHeight="1" x14ac:dyDescent="0.2">
      <c r="A618" s="8"/>
      <c r="B618" s="17"/>
      <c r="C618" s="8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25"/>
      <c r="AO618" s="11"/>
    </row>
    <row r="619" spans="1:41" ht="12.75" customHeight="1" x14ac:dyDescent="0.2">
      <c r="A619" s="8"/>
      <c r="B619" s="17"/>
      <c r="C619" s="8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25"/>
      <c r="AO619" s="11"/>
    </row>
    <row r="620" spans="1:41" ht="12.75" customHeight="1" x14ac:dyDescent="0.2">
      <c r="A620" s="8"/>
      <c r="B620" s="17"/>
      <c r="C620" s="8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25"/>
      <c r="AO620" s="11"/>
    </row>
    <row r="621" spans="1:41" ht="12.75" customHeight="1" x14ac:dyDescent="0.2">
      <c r="A621" s="8"/>
      <c r="B621" s="17"/>
      <c r="C621" s="8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25"/>
      <c r="AO621" s="11"/>
    </row>
    <row r="622" spans="1:41" ht="12.75" customHeight="1" x14ac:dyDescent="0.2">
      <c r="A622" s="8"/>
      <c r="B622" s="17"/>
      <c r="C622" s="8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25"/>
      <c r="AO622" s="11"/>
    </row>
    <row r="623" spans="1:41" ht="12.75" customHeight="1" x14ac:dyDescent="0.2">
      <c r="A623" s="8"/>
      <c r="B623" s="17"/>
      <c r="C623" s="8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25"/>
      <c r="AO623" s="11"/>
    </row>
    <row r="624" spans="1:41" ht="12.75" customHeight="1" x14ac:dyDescent="0.2">
      <c r="A624" s="8"/>
      <c r="B624" s="17"/>
      <c r="C624" s="8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25"/>
      <c r="AO624" s="11"/>
    </row>
    <row r="625" spans="1:41" ht="12.75" customHeight="1" x14ac:dyDescent="0.2">
      <c r="A625" s="8"/>
      <c r="B625" s="17"/>
      <c r="C625" s="8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25"/>
      <c r="AO625" s="11"/>
    </row>
    <row r="626" spans="1:41" ht="12.75" customHeight="1" x14ac:dyDescent="0.2">
      <c r="A626" s="8"/>
      <c r="B626" s="17"/>
      <c r="C626" s="8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25"/>
      <c r="AO626" s="11"/>
    </row>
    <row r="627" spans="1:41" ht="12.75" customHeight="1" x14ac:dyDescent="0.2">
      <c r="A627" s="8"/>
      <c r="B627" s="17"/>
      <c r="C627" s="8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25"/>
      <c r="AO627" s="11"/>
    </row>
    <row r="628" spans="1:41" ht="12.75" customHeight="1" x14ac:dyDescent="0.2">
      <c r="A628" s="8"/>
      <c r="B628" s="17"/>
      <c r="C628" s="8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25"/>
      <c r="AO628" s="11"/>
    </row>
    <row r="629" spans="1:41" ht="12.75" customHeight="1" x14ac:dyDescent="0.2">
      <c r="A629" s="8"/>
      <c r="B629" s="17"/>
      <c r="C629" s="8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25"/>
      <c r="AO629" s="11"/>
    </row>
    <row r="630" spans="1:41" ht="12.75" customHeight="1" x14ac:dyDescent="0.2">
      <c r="A630" s="8"/>
      <c r="B630" s="17"/>
      <c r="C630" s="8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25"/>
      <c r="AO630" s="11"/>
    </row>
    <row r="631" spans="1:41" ht="12.75" customHeight="1" x14ac:dyDescent="0.2">
      <c r="A631" s="8"/>
      <c r="B631" s="17"/>
      <c r="C631" s="8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25"/>
      <c r="AO631" s="11"/>
    </row>
    <row r="632" spans="1:41" ht="12.75" customHeight="1" x14ac:dyDescent="0.2">
      <c r="A632" s="8"/>
      <c r="B632" s="17"/>
      <c r="C632" s="8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25"/>
      <c r="AO632" s="11"/>
    </row>
    <row r="633" spans="1:41" ht="12.75" customHeight="1" x14ac:dyDescent="0.2">
      <c r="A633" s="8"/>
      <c r="B633" s="17"/>
      <c r="C633" s="8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25"/>
      <c r="AO633" s="11"/>
    </row>
    <row r="634" spans="1:41" ht="12.75" customHeight="1" x14ac:dyDescent="0.2">
      <c r="A634" s="8"/>
      <c r="B634" s="17"/>
      <c r="C634" s="8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25"/>
      <c r="AO634" s="11"/>
    </row>
    <row r="635" spans="1:41" ht="12.75" customHeight="1" x14ac:dyDescent="0.2">
      <c r="A635" s="8"/>
      <c r="B635" s="17"/>
      <c r="C635" s="8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25"/>
      <c r="AO635" s="11"/>
    </row>
    <row r="636" spans="1:41" ht="12.75" customHeight="1" x14ac:dyDescent="0.2">
      <c r="A636" s="8"/>
      <c r="B636" s="17"/>
      <c r="C636" s="8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25"/>
      <c r="AO636" s="11"/>
    </row>
    <row r="637" spans="1:41" ht="12.75" customHeight="1" x14ac:dyDescent="0.2">
      <c r="A637" s="8"/>
      <c r="B637" s="17"/>
      <c r="C637" s="8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25"/>
      <c r="AO637" s="11"/>
    </row>
    <row r="638" spans="1:41" ht="12.75" customHeight="1" x14ac:dyDescent="0.2">
      <c r="A638" s="8"/>
      <c r="B638" s="17"/>
      <c r="C638" s="8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25"/>
      <c r="AO638" s="11"/>
    </row>
    <row r="639" spans="1:41" ht="12.75" customHeight="1" x14ac:dyDescent="0.2">
      <c r="A639" s="8"/>
      <c r="B639" s="17"/>
      <c r="C639" s="8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25"/>
      <c r="AO639" s="11"/>
    </row>
    <row r="640" spans="1:41" ht="12.75" customHeight="1" x14ac:dyDescent="0.2">
      <c r="A640" s="8"/>
      <c r="B640" s="17"/>
      <c r="C640" s="8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25"/>
      <c r="AO640" s="11"/>
    </row>
    <row r="641" spans="1:41" ht="12.75" customHeight="1" x14ac:dyDescent="0.2">
      <c r="A641" s="8"/>
      <c r="B641" s="17"/>
      <c r="C641" s="8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25"/>
      <c r="AO641" s="11"/>
    </row>
    <row r="642" spans="1:41" ht="12.75" customHeight="1" x14ac:dyDescent="0.2">
      <c r="A642" s="8"/>
      <c r="B642" s="17"/>
      <c r="C642" s="8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25"/>
      <c r="AO642" s="11"/>
    </row>
    <row r="643" spans="1:41" ht="12.75" customHeight="1" x14ac:dyDescent="0.2">
      <c r="A643" s="8"/>
      <c r="B643" s="17"/>
      <c r="C643" s="8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25"/>
      <c r="AO643" s="11"/>
    </row>
    <row r="644" spans="1:41" ht="12.75" customHeight="1" x14ac:dyDescent="0.2">
      <c r="A644" s="8"/>
      <c r="B644" s="17"/>
      <c r="C644" s="8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25"/>
      <c r="AO644" s="11"/>
    </row>
    <row r="645" spans="1:41" ht="12.75" customHeight="1" x14ac:dyDescent="0.2">
      <c r="A645" s="8"/>
      <c r="B645" s="17"/>
      <c r="C645" s="8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25"/>
      <c r="AO645" s="11"/>
    </row>
    <row r="646" spans="1:41" ht="12.75" customHeight="1" x14ac:dyDescent="0.2">
      <c r="A646" s="8"/>
      <c r="B646" s="17"/>
      <c r="C646" s="8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25"/>
      <c r="AO646" s="11"/>
    </row>
    <row r="647" spans="1:41" ht="12.75" customHeight="1" x14ac:dyDescent="0.2">
      <c r="A647" s="8"/>
      <c r="B647" s="17"/>
      <c r="C647" s="8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25"/>
      <c r="AO647" s="11"/>
    </row>
    <row r="648" spans="1:41" ht="12.75" customHeight="1" x14ac:dyDescent="0.2">
      <c r="A648" s="8"/>
      <c r="B648" s="17"/>
      <c r="C648" s="8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25"/>
      <c r="AO648" s="11"/>
    </row>
    <row r="649" spans="1:41" ht="12.75" customHeight="1" x14ac:dyDescent="0.2">
      <c r="A649" s="8"/>
      <c r="B649" s="17"/>
      <c r="C649" s="8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25"/>
      <c r="AO649" s="11"/>
    </row>
    <row r="650" spans="1:41" ht="12.75" customHeight="1" x14ac:dyDescent="0.2">
      <c r="A650" s="8"/>
      <c r="B650" s="17"/>
      <c r="C650" s="8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25"/>
      <c r="AO650" s="11"/>
    </row>
    <row r="651" spans="1:41" ht="12.75" customHeight="1" x14ac:dyDescent="0.2">
      <c r="A651" s="8"/>
      <c r="B651" s="17"/>
      <c r="C651" s="8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25"/>
      <c r="AO651" s="11"/>
    </row>
    <row r="652" spans="1:41" ht="12.75" customHeight="1" x14ac:dyDescent="0.2">
      <c r="A652" s="8"/>
      <c r="B652" s="17"/>
      <c r="C652" s="8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25"/>
      <c r="AO652" s="11"/>
    </row>
    <row r="653" spans="1:41" ht="12.75" customHeight="1" x14ac:dyDescent="0.2">
      <c r="A653" s="8"/>
      <c r="B653" s="17"/>
      <c r="C653" s="8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25"/>
      <c r="AO653" s="11"/>
    </row>
    <row r="654" spans="1:41" ht="12.75" customHeight="1" x14ac:dyDescent="0.2">
      <c r="A654" s="8"/>
      <c r="B654" s="17"/>
      <c r="C654" s="8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25"/>
      <c r="AO654" s="11"/>
    </row>
    <row r="655" spans="1:41" ht="12.75" customHeight="1" x14ac:dyDescent="0.2">
      <c r="A655" s="8"/>
      <c r="B655" s="17"/>
      <c r="C655" s="8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25"/>
      <c r="AO655" s="11"/>
    </row>
    <row r="656" spans="1:41" ht="12.75" customHeight="1" x14ac:dyDescent="0.2">
      <c r="A656" s="8"/>
      <c r="B656" s="17"/>
      <c r="C656" s="8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25"/>
      <c r="AO656" s="11"/>
    </row>
    <row r="657" spans="1:41" ht="12.75" customHeight="1" x14ac:dyDescent="0.2">
      <c r="A657" s="8"/>
      <c r="B657" s="17"/>
      <c r="C657" s="8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25"/>
      <c r="AO657" s="11"/>
    </row>
    <row r="658" spans="1:41" ht="12.75" customHeight="1" x14ac:dyDescent="0.2">
      <c r="A658" s="8"/>
      <c r="B658" s="17"/>
      <c r="C658" s="8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25"/>
      <c r="AO658" s="11"/>
    </row>
    <row r="659" spans="1:41" ht="12.75" customHeight="1" x14ac:dyDescent="0.2">
      <c r="A659" s="8"/>
      <c r="B659" s="17"/>
      <c r="C659" s="8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25"/>
      <c r="AO659" s="11"/>
    </row>
    <row r="660" spans="1:41" ht="12.75" customHeight="1" x14ac:dyDescent="0.2">
      <c r="A660" s="8"/>
      <c r="B660" s="17"/>
      <c r="C660" s="8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25"/>
      <c r="AO660" s="11"/>
    </row>
    <row r="661" spans="1:41" ht="12.75" customHeight="1" x14ac:dyDescent="0.2">
      <c r="A661" s="8"/>
      <c r="B661" s="17"/>
      <c r="C661" s="8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25"/>
      <c r="AO661" s="11"/>
    </row>
    <row r="662" spans="1:41" ht="12.75" customHeight="1" x14ac:dyDescent="0.2">
      <c r="A662" s="8"/>
      <c r="B662" s="17"/>
      <c r="C662" s="8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25"/>
      <c r="AO662" s="11"/>
    </row>
    <row r="663" spans="1:41" ht="12.75" customHeight="1" x14ac:dyDescent="0.2">
      <c r="A663" s="8"/>
      <c r="B663" s="17"/>
      <c r="C663" s="8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25"/>
      <c r="AO663" s="11"/>
    </row>
    <row r="664" spans="1:41" ht="12.75" customHeight="1" x14ac:dyDescent="0.2">
      <c r="A664" s="8"/>
      <c r="B664" s="17"/>
      <c r="C664" s="8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25"/>
      <c r="AO664" s="11"/>
    </row>
    <row r="665" spans="1:41" ht="12.75" customHeight="1" x14ac:dyDescent="0.2">
      <c r="A665" s="8"/>
      <c r="B665" s="17"/>
      <c r="C665" s="8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25"/>
      <c r="AO665" s="11"/>
    </row>
    <row r="666" spans="1:41" ht="12.75" customHeight="1" x14ac:dyDescent="0.2">
      <c r="A666" s="8"/>
      <c r="B666" s="17"/>
      <c r="C666" s="8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25"/>
      <c r="AO666" s="11"/>
    </row>
    <row r="667" spans="1:41" ht="12.75" customHeight="1" x14ac:dyDescent="0.2">
      <c r="A667" s="8"/>
      <c r="B667" s="17"/>
      <c r="C667" s="8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25"/>
      <c r="AO667" s="11"/>
    </row>
    <row r="668" spans="1:41" ht="12.75" customHeight="1" x14ac:dyDescent="0.2">
      <c r="A668" s="8"/>
      <c r="B668" s="17"/>
      <c r="C668" s="8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25"/>
      <c r="AO668" s="11"/>
    </row>
    <row r="669" spans="1:41" ht="12.75" customHeight="1" x14ac:dyDescent="0.2">
      <c r="A669" s="8"/>
      <c r="B669" s="17"/>
      <c r="C669" s="8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25"/>
      <c r="AO669" s="11"/>
    </row>
    <row r="670" spans="1:41" ht="12.75" customHeight="1" x14ac:dyDescent="0.2">
      <c r="A670" s="8"/>
      <c r="B670" s="17"/>
      <c r="C670" s="8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25"/>
      <c r="AO670" s="11"/>
    </row>
    <row r="671" spans="1:41" ht="12.75" customHeight="1" x14ac:dyDescent="0.2">
      <c r="A671" s="8"/>
      <c r="B671" s="17"/>
      <c r="C671" s="8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25"/>
      <c r="AO671" s="11"/>
    </row>
    <row r="672" spans="1:41" ht="12.75" customHeight="1" x14ac:dyDescent="0.2">
      <c r="A672" s="8"/>
      <c r="B672" s="17"/>
      <c r="C672" s="8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25"/>
      <c r="AO672" s="11"/>
    </row>
    <row r="673" spans="1:41" ht="12.75" customHeight="1" x14ac:dyDescent="0.2">
      <c r="A673" s="8"/>
      <c r="B673" s="17"/>
      <c r="C673" s="8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25"/>
      <c r="AO673" s="11"/>
    </row>
    <row r="674" spans="1:41" ht="12.75" customHeight="1" x14ac:dyDescent="0.2">
      <c r="A674" s="8"/>
      <c r="B674" s="17"/>
      <c r="C674" s="8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25"/>
      <c r="AO674" s="11"/>
    </row>
    <row r="675" spans="1:41" ht="12.75" customHeight="1" x14ac:dyDescent="0.2">
      <c r="A675" s="8"/>
      <c r="B675" s="17"/>
      <c r="C675" s="8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25"/>
      <c r="AO675" s="11"/>
    </row>
    <row r="676" spans="1:41" ht="12.75" customHeight="1" x14ac:dyDescent="0.2">
      <c r="A676" s="8"/>
      <c r="B676" s="17"/>
      <c r="C676" s="8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25"/>
      <c r="AO676" s="11"/>
    </row>
    <row r="677" spans="1:41" ht="12.75" customHeight="1" x14ac:dyDescent="0.2">
      <c r="A677" s="8"/>
      <c r="B677" s="17"/>
      <c r="C677" s="8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25"/>
      <c r="AO677" s="11"/>
    </row>
    <row r="678" spans="1:41" ht="12.75" customHeight="1" x14ac:dyDescent="0.2">
      <c r="A678" s="8"/>
      <c r="B678" s="17"/>
      <c r="C678" s="8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25"/>
      <c r="AO678" s="11"/>
    </row>
    <row r="679" spans="1:41" ht="12.75" customHeight="1" x14ac:dyDescent="0.2">
      <c r="A679" s="8"/>
      <c r="B679" s="17"/>
      <c r="C679" s="8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25"/>
      <c r="AO679" s="11"/>
    </row>
    <row r="680" spans="1:41" ht="12.75" customHeight="1" x14ac:dyDescent="0.2">
      <c r="A680" s="8"/>
      <c r="B680" s="17"/>
      <c r="C680" s="8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25"/>
      <c r="AO680" s="11"/>
    </row>
    <row r="681" spans="1:41" ht="12.75" customHeight="1" x14ac:dyDescent="0.2">
      <c r="A681" s="8"/>
      <c r="B681" s="17"/>
      <c r="C681" s="8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25"/>
      <c r="AO681" s="11"/>
    </row>
    <row r="682" spans="1:41" ht="12.75" customHeight="1" x14ac:dyDescent="0.2">
      <c r="A682" s="8"/>
      <c r="B682" s="17"/>
      <c r="C682" s="8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25"/>
      <c r="AO682" s="11"/>
    </row>
    <row r="683" spans="1:41" ht="12.75" customHeight="1" x14ac:dyDescent="0.2">
      <c r="A683" s="8"/>
      <c r="B683" s="17"/>
      <c r="C683" s="8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25"/>
      <c r="AO683" s="11"/>
    </row>
    <row r="684" spans="1:41" ht="12.75" customHeight="1" x14ac:dyDescent="0.2">
      <c r="A684" s="8"/>
      <c r="B684" s="17"/>
      <c r="C684" s="8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25"/>
      <c r="AO684" s="11"/>
    </row>
    <row r="685" spans="1:41" ht="12.75" customHeight="1" x14ac:dyDescent="0.2">
      <c r="A685" s="8"/>
      <c r="B685" s="17"/>
      <c r="C685" s="8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25"/>
      <c r="AO685" s="11"/>
    </row>
    <row r="686" spans="1:41" ht="12.75" customHeight="1" x14ac:dyDescent="0.2">
      <c r="A686" s="8"/>
      <c r="B686" s="17"/>
      <c r="C686" s="8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25"/>
      <c r="AO686" s="11"/>
    </row>
    <row r="687" spans="1:41" ht="12.75" customHeight="1" x14ac:dyDescent="0.2">
      <c r="A687" s="8"/>
      <c r="B687" s="17"/>
      <c r="C687" s="8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25"/>
      <c r="AO687" s="11"/>
    </row>
    <row r="688" spans="1:41" ht="12.75" customHeight="1" x14ac:dyDescent="0.2">
      <c r="A688" s="8"/>
      <c r="B688" s="17"/>
      <c r="C688" s="8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25"/>
      <c r="AO688" s="11"/>
    </row>
    <row r="689" spans="1:41" ht="12.75" customHeight="1" x14ac:dyDescent="0.2">
      <c r="A689" s="8"/>
      <c r="B689" s="17"/>
      <c r="C689" s="8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25"/>
      <c r="AO689" s="11"/>
    </row>
    <row r="690" spans="1:41" ht="12.75" customHeight="1" x14ac:dyDescent="0.2">
      <c r="A690" s="8"/>
      <c r="B690" s="17"/>
      <c r="C690" s="8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25"/>
      <c r="AO690" s="11"/>
    </row>
    <row r="691" spans="1:41" ht="12.75" customHeight="1" x14ac:dyDescent="0.2">
      <c r="A691" s="8"/>
      <c r="B691" s="17"/>
      <c r="C691" s="8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25"/>
      <c r="AO691" s="11"/>
    </row>
    <row r="692" spans="1:41" ht="12.75" customHeight="1" x14ac:dyDescent="0.2">
      <c r="A692" s="8"/>
      <c r="B692" s="17"/>
      <c r="C692" s="8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25"/>
      <c r="AO692" s="11"/>
    </row>
    <row r="693" spans="1:41" ht="12.75" customHeight="1" x14ac:dyDescent="0.2">
      <c r="A693" s="8"/>
      <c r="B693" s="17"/>
      <c r="C693" s="8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25"/>
      <c r="AO693" s="11"/>
    </row>
    <row r="694" spans="1:41" ht="12.75" customHeight="1" x14ac:dyDescent="0.2">
      <c r="A694" s="8"/>
      <c r="B694" s="17"/>
      <c r="C694" s="8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25"/>
      <c r="AO694" s="11"/>
    </row>
    <row r="695" spans="1:41" ht="12.75" customHeight="1" x14ac:dyDescent="0.2">
      <c r="A695" s="8"/>
      <c r="B695" s="17"/>
      <c r="C695" s="8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25"/>
      <c r="AO695" s="11"/>
    </row>
    <row r="696" spans="1:41" ht="12.75" customHeight="1" x14ac:dyDescent="0.2">
      <c r="A696" s="8"/>
      <c r="B696" s="17"/>
      <c r="C696" s="8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25"/>
      <c r="AO696" s="11"/>
    </row>
    <row r="697" spans="1:41" ht="12.75" customHeight="1" x14ac:dyDescent="0.2">
      <c r="A697" s="8"/>
      <c r="B697" s="17"/>
      <c r="C697" s="8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25"/>
      <c r="AO697" s="11"/>
    </row>
    <row r="698" spans="1:41" ht="12.75" customHeight="1" x14ac:dyDescent="0.2">
      <c r="A698" s="8"/>
      <c r="B698" s="17"/>
      <c r="C698" s="8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25"/>
      <c r="AO698" s="11"/>
    </row>
    <row r="699" spans="1:41" ht="12.75" customHeight="1" x14ac:dyDescent="0.2">
      <c r="A699" s="8"/>
      <c r="B699" s="17"/>
      <c r="C699" s="8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25"/>
      <c r="AO699" s="11"/>
    </row>
    <row r="700" spans="1:41" ht="12.75" customHeight="1" x14ac:dyDescent="0.2">
      <c r="A700" s="8"/>
      <c r="B700" s="17"/>
      <c r="C700" s="8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25"/>
      <c r="AO700" s="11"/>
    </row>
    <row r="701" spans="1:41" ht="12.75" customHeight="1" x14ac:dyDescent="0.2">
      <c r="A701" s="8"/>
      <c r="B701" s="17"/>
      <c r="C701" s="8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25"/>
      <c r="AO701" s="11"/>
    </row>
    <row r="702" spans="1:41" ht="12.75" customHeight="1" x14ac:dyDescent="0.2">
      <c r="A702" s="8"/>
      <c r="B702" s="17"/>
      <c r="C702" s="8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25"/>
      <c r="AO702" s="11"/>
    </row>
    <row r="703" spans="1:41" ht="12.75" customHeight="1" x14ac:dyDescent="0.2">
      <c r="A703" s="8"/>
      <c r="B703" s="17"/>
      <c r="C703" s="8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25"/>
      <c r="AO703" s="11"/>
    </row>
    <row r="704" spans="1:41" ht="12.75" customHeight="1" x14ac:dyDescent="0.2">
      <c r="A704" s="8"/>
      <c r="B704" s="17"/>
      <c r="C704" s="8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25"/>
      <c r="AO704" s="11"/>
    </row>
    <row r="705" spans="1:41" ht="12.75" customHeight="1" x14ac:dyDescent="0.2">
      <c r="A705" s="8"/>
      <c r="B705" s="17"/>
      <c r="C705" s="8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25"/>
      <c r="AO705" s="11"/>
    </row>
    <row r="706" spans="1:41" ht="12.75" customHeight="1" x14ac:dyDescent="0.2">
      <c r="A706" s="8"/>
      <c r="B706" s="17"/>
      <c r="C706" s="8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25"/>
      <c r="AO706" s="11"/>
    </row>
    <row r="707" spans="1:41" ht="12.75" customHeight="1" x14ac:dyDescent="0.2">
      <c r="A707" s="8"/>
      <c r="B707" s="17"/>
      <c r="C707" s="8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25"/>
      <c r="AO707" s="11"/>
    </row>
    <row r="708" spans="1:41" ht="12.75" customHeight="1" x14ac:dyDescent="0.2">
      <c r="A708" s="8"/>
      <c r="B708" s="17"/>
      <c r="C708" s="8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25"/>
      <c r="AO708" s="11"/>
    </row>
    <row r="709" spans="1:41" ht="12.75" customHeight="1" x14ac:dyDescent="0.2">
      <c r="A709" s="8"/>
      <c r="B709" s="17"/>
      <c r="C709" s="8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25"/>
      <c r="AO709" s="11"/>
    </row>
    <row r="710" spans="1:41" ht="12.75" customHeight="1" x14ac:dyDescent="0.2">
      <c r="A710" s="8"/>
      <c r="B710" s="17"/>
      <c r="C710" s="8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25"/>
      <c r="AO710" s="11"/>
    </row>
    <row r="711" spans="1:41" ht="12.75" customHeight="1" x14ac:dyDescent="0.2">
      <c r="A711" s="8"/>
      <c r="B711" s="17"/>
      <c r="C711" s="8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25"/>
      <c r="AO711" s="11"/>
    </row>
    <row r="712" spans="1:41" ht="12.75" customHeight="1" x14ac:dyDescent="0.2">
      <c r="A712" s="8"/>
      <c r="B712" s="17"/>
      <c r="C712" s="8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25"/>
      <c r="AO712" s="11"/>
    </row>
    <row r="713" spans="1:41" ht="12.75" customHeight="1" x14ac:dyDescent="0.2">
      <c r="A713" s="8"/>
      <c r="B713" s="17"/>
      <c r="C713" s="8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25"/>
      <c r="AO713" s="11"/>
    </row>
    <row r="714" spans="1:41" ht="12.75" customHeight="1" x14ac:dyDescent="0.2">
      <c r="A714" s="8"/>
      <c r="B714" s="17"/>
      <c r="C714" s="8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25"/>
      <c r="AO714" s="11"/>
    </row>
    <row r="715" spans="1:41" ht="12.75" customHeight="1" x14ac:dyDescent="0.2">
      <c r="A715" s="8"/>
      <c r="B715" s="17"/>
      <c r="C715" s="8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25"/>
      <c r="AO715" s="11"/>
    </row>
    <row r="716" spans="1:41" ht="12.75" customHeight="1" x14ac:dyDescent="0.2">
      <c r="A716" s="8"/>
      <c r="B716" s="17"/>
      <c r="C716" s="8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25"/>
      <c r="AO716" s="11"/>
    </row>
    <row r="717" spans="1:41" ht="12.75" customHeight="1" x14ac:dyDescent="0.2">
      <c r="A717" s="8"/>
      <c r="B717" s="17"/>
      <c r="C717" s="8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25"/>
      <c r="AO717" s="11"/>
    </row>
    <row r="718" spans="1:41" ht="12.75" customHeight="1" x14ac:dyDescent="0.2">
      <c r="A718" s="8"/>
      <c r="B718" s="17"/>
      <c r="C718" s="8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25"/>
      <c r="AO718" s="11"/>
    </row>
    <row r="719" spans="1:41" ht="12.75" customHeight="1" x14ac:dyDescent="0.2">
      <c r="A719" s="8"/>
      <c r="B719" s="17"/>
      <c r="C719" s="8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25"/>
      <c r="AO719" s="11"/>
    </row>
    <row r="720" spans="1:41" ht="12.75" customHeight="1" x14ac:dyDescent="0.2">
      <c r="A720" s="8"/>
      <c r="B720" s="17"/>
      <c r="C720" s="8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25"/>
      <c r="AO720" s="11"/>
    </row>
    <row r="721" spans="1:41" ht="12.75" customHeight="1" x14ac:dyDescent="0.2">
      <c r="A721" s="8"/>
      <c r="B721" s="17"/>
      <c r="C721" s="8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25"/>
      <c r="AO721" s="11"/>
    </row>
    <row r="722" spans="1:41" ht="12.75" customHeight="1" x14ac:dyDescent="0.2">
      <c r="A722" s="8"/>
      <c r="B722" s="17"/>
      <c r="C722" s="8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25"/>
      <c r="AO722" s="11"/>
    </row>
    <row r="723" spans="1:41" ht="12.75" customHeight="1" x14ac:dyDescent="0.2">
      <c r="A723" s="8"/>
      <c r="B723" s="17"/>
      <c r="C723" s="8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25"/>
      <c r="AO723" s="11"/>
    </row>
    <row r="724" spans="1:41" ht="12.75" customHeight="1" x14ac:dyDescent="0.2">
      <c r="A724" s="8"/>
      <c r="B724" s="17"/>
      <c r="C724" s="8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25"/>
      <c r="AO724" s="11"/>
    </row>
    <row r="725" spans="1:41" ht="12.75" customHeight="1" x14ac:dyDescent="0.2">
      <c r="A725" s="8"/>
      <c r="B725" s="17"/>
      <c r="C725" s="8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25"/>
      <c r="AO725" s="11"/>
    </row>
    <row r="726" spans="1:41" ht="12.75" customHeight="1" x14ac:dyDescent="0.2">
      <c r="A726" s="8"/>
      <c r="B726" s="17"/>
      <c r="C726" s="8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25"/>
      <c r="AO726" s="11"/>
    </row>
    <row r="727" spans="1:41" ht="12.75" customHeight="1" x14ac:dyDescent="0.2">
      <c r="A727" s="8"/>
      <c r="B727" s="17"/>
      <c r="C727" s="8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25"/>
      <c r="AO727" s="11"/>
    </row>
    <row r="728" spans="1:41" ht="12.75" customHeight="1" x14ac:dyDescent="0.2">
      <c r="A728" s="8"/>
      <c r="B728" s="17"/>
      <c r="C728" s="8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25"/>
      <c r="AO728" s="11"/>
    </row>
    <row r="729" spans="1:41" ht="12.75" customHeight="1" x14ac:dyDescent="0.2">
      <c r="A729" s="8"/>
      <c r="B729" s="17"/>
      <c r="C729" s="8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25"/>
      <c r="AO729" s="11"/>
    </row>
    <row r="730" spans="1:41" ht="12.75" customHeight="1" x14ac:dyDescent="0.2">
      <c r="A730" s="8"/>
      <c r="B730" s="17"/>
      <c r="C730" s="8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25"/>
      <c r="AO730" s="11"/>
    </row>
    <row r="731" spans="1:41" ht="12.75" customHeight="1" x14ac:dyDescent="0.2">
      <c r="A731" s="8"/>
      <c r="B731" s="17"/>
      <c r="C731" s="8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25"/>
      <c r="AO731" s="11"/>
    </row>
    <row r="732" spans="1:41" ht="12.75" customHeight="1" x14ac:dyDescent="0.2">
      <c r="A732" s="8"/>
      <c r="B732" s="17"/>
      <c r="C732" s="8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25"/>
      <c r="AO732" s="11"/>
    </row>
    <row r="733" spans="1:41" ht="12.75" customHeight="1" x14ac:dyDescent="0.2">
      <c r="A733" s="8"/>
      <c r="B733" s="17"/>
      <c r="C733" s="8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25"/>
      <c r="AO733" s="11"/>
    </row>
    <row r="734" spans="1:41" ht="12.75" customHeight="1" x14ac:dyDescent="0.2">
      <c r="A734" s="8"/>
      <c r="B734" s="17"/>
      <c r="C734" s="8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25"/>
      <c r="AO734" s="11"/>
    </row>
    <row r="735" spans="1:41" ht="12.75" customHeight="1" x14ac:dyDescent="0.2">
      <c r="A735" s="8"/>
      <c r="B735" s="17"/>
      <c r="C735" s="8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25"/>
      <c r="AO735" s="11"/>
    </row>
    <row r="736" spans="1:41" ht="12.75" customHeight="1" x14ac:dyDescent="0.2">
      <c r="A736" s="8"/>
      <c r="B736" s="17"/>
      <c r="C736" s="8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25"/>
      <c r="AO736" s="11"/>
    </row>
    <row r="737" spans="1:41" ht="12.75" customHeight="1" x14ac:dyDescent="0.2">
      <c r="A737" s="8"/>
      <c r="B737" s="17"/>
      <c r="C737" s="8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25"/>
      <c r="AO737" s="11"/>
    </row>
    <row r="738" spans="1:41" ht="12.75" customHeight="1" x14ac:dyDescent="0.2">
      <c r="A738" s="8"/>
      <c r="B738" s="17"/>
      <c r="C738" s="8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25"/>
      <c r="AO738" s="11"/>
    </row>
    <row r="739" spans="1:41" ht="12.75" customHeight="1" x14ac:dyDescent="0.2">
      <c r="A739" s="8"/>
      <c r="B739" s="17"/>
      <c r="C739" s="8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25"/>
      <c r="AO739" s="11"/>
    </row>
    <row r="740" spans="1:41" ht="12.75" customHeight="1" x14ac:dyDescent="0.2">
      <c r="A740" s="8"/>
      <c r="B740" s="17"/>
      <c r="C740" s="8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25"/>
      <c r="AO740" s="11"/>
    </row>
    <row r="741" spans="1:41" ht="12.75" customHeight="1" x14ac:dyDescent="0.2">
      <c r="A741" s="8"/>
      <c r="B741" s="17"/>
      <c r="C741" s="8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25"/>
      <c r="AO741" s="11"/>
    </row>
    <row r="742" spans="1:41" ht="12.75" customHeight="1" x14ac:dyDescent="0.2">
      <c r="A742" s="8"/>
      <c r="B742" s="17"/>
      <c r="C742" s="8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25"/>
      <c r="AO742" s="11"/>
    </row>
    <row r="743" spans="1:41" ht="12.75" customHeight="1" x14ac:dyDescent="0.2">
      <c r="A743" s="8"/>
      <c r="B743" s="17"/>
      <c r="C743" s="8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25"/>
      <c r="AO743" s="11"/>
    </row>
    <row r="744" spans="1:41" ht="12.75" customHeight="1" x14ac:dyDescent="0.2">
      <c r="A744" s="8"/>
      <c r="B744" s="17"/>
      <c r="C744" s="8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25"/>
      <c r="AO744" s="11"/>
    </row>
    <row r="745" spans="1:41" ht="12.75" customHeight="1" x14ac:dyDescent="0.2">
      <c r="A745" s="8"/>
      <c r="B745" s="17"/>
      <c r="C745" s="8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25"/>
      <c r="AO745" s="11"/>
    </row>
    <row r="746" spans="1:41" ht="12.75" customHeight="1" x14ac:dyDescent="0.2">
      <c r="A746" s="8"/>
      <c r="B746" s="17"/>
      <c r="C746" s="8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25"/>
      <c r="AO746" s="11"/>
    </row>
    <row r="747" spans="1:41" ht="12.75" customHeight="1" x14ac:dyDescent="0.2">
      <c r="A747" s="8"/>
      <c r="B747" s="17"/>
      <c r="C747" s="8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25"/>
      <c r="AO747" s="11"/>
    </row>
    <row r="748" spans="1:41" ht="12.75" customHeight="1" x14ac:dyDescent="0.2">
      <c r="A748" s="8"/>
      <c r="B748" s="17"/>
      <c r="C748" s="8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25"/>
      <c r="AO748" s="11"/>
    </row>
    <row r="749" spans="1:41" ht="12.75" customHeight="1" x14ac:dyDescent="0.2">
      <c r="A749" s="8"/>
      <c r="B749" s="17"/>
      <c r="C749" s="8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25"/>
      <c r="AO749" s="11"/>
    </row>
    <row r="750" spans="1:41" ht="12.75" customHeight="1" x14ac:dyDescent="0.2">
      <c r="A750" s="8"/>
      <c r="B750" s="17"/>
      <c r="C750" s="8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25"/>
      <c r="AO750" s="11"/>
    </row>
    <row r="751" spans="1:41" ht="12.75" customHeight="1" x14ac:dyDescent="0.2">
      <c r="A751" s="8"/>
      <c r="B751" s="17"/>
      <c r="C751" s="8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25"/>
      <c r="AO751" s="11"/>
    </row>
    <row r="752" spans="1:41" ht="12.75" customHeight="1" x14ac:dyDescent="0.2">
      <c r="A752" s="8"/>
      <c r="B752" s="17"/>
      <c r="C752" s="8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25"/>
      <c r="AO752" s="11"/>
    </row>
    <row r="753" spans="1:41" ht="12.75" customHeight="1" x14ac:dyDescent="0.2">
      <c r="A753" s="8"/>
      <c r="B753" s="17"/>
      <c r="C753" s="8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25"/>
      <c r="AO753" s="11"/>
    </row>
    <row r="754" spans="1:41" ht="12.75" customHeight="1" x14ac:dyDescent="0.2">
      <c r="A754" s="8"/>
      <c r="B754" s="17"/>
      <c r="C754" s="8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25"/>
      <c r="AO754" s="11"/>
    </row>
    <row r="755" spans="1:41" ht="12.75" customHeight="1" x14ac:dyDescent="0.2">
      <c r="A755" s="8"/>
      <c r="B755" s="17"/>
      <c r="C755" s="8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25"/>
      <c r="AO755" s="11"/>
    </row>
    <row r="756" spans="1:41" ht="12.75" customHeight="1" x14ac:dyDescent="0.2">
      <c r="A756" s="8"/>
      <c r="B756" s="17"/>
      <c r="C756" s="8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25"/>
      <c r="AO756" s="11"/>
    </row>
    <row r="757" spans="1:41" ht="12.75" customHeight="1" x14ac:dyDescent="0.2">
      <c r="A757" s="8"/>
      <c r="B757" s="17"/>
      <c r="C757" s="8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25"/>
      <c r="AO757" s="11"/>
    </row>
    <row r="758" spans="1:41" ht="12.75" customHeight="1" x14ac:dyDescent="0.2">
      <c r="A758" s="8"/>
      <c r="B758" s="17"/>
      <c r="C758" s="8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25"/>
      <c r="AO758" s="11"/>
    </row>
    <row r="759" spans="1:41" ht="12.75" customHeight="1" x14ac:dyDescent="0.2">
      <c r="A759" s="8"/>
      <c r="B759" s="17"/>
      <c r="C759" s="8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25"/>
      <c r="AO759" s="11"/>
    </row>
    <row r="760" spans="1:41" ht="12.75" customHeight="1" x14ac:dyDescent="0.2">
      <c r="A760" s="8"/>
      <c r="B760" s="17"/>
      <c r="C760" s="8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25"/>
      <c r="AO760" s="11"/>
    </row>
    <row r="761" spans="1:41" ht="12.75" customHeight="1" x14ac:dyDescent="0.2">
      <c r="A761" s="8"/>
      <c r="B761" s="17"/>
      <c r="C761" s="8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25"/>
      <c r="AO761" s="11"/>
    </row>
    <row r="762" spans="1:41" ht="12.75" customHeight="1" x14ac:dyDescent="0.2">
      <c r="A762" s="8"/>
      <c r="B762" s="17"/>
      <c r="C762" s="8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25"/>
      <c r="AO762" s="11"/>
    </row>
    <row r="763" spans="1:41" ht="12.75" customHeight="1" x14ac:dyDescent="0.2">
      <c r="A763" s="8"/>
      <c r="B763" s="17"/>
      <c r="C763" s="8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25"/>
      <c r="AO763" s="11"/>
    </row>
    <row r="764" spans="1:41" ht="12.75" customHeight="1" x14ac:dyDescent="0.2">
      <c r="A764" s="8"/>
      <c r="B764" s="17"/>
      <c r="C764" s="8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25"/>
      <c r="AO764" s="11"/>
    </row>
    <row r="765" spans="1:41" ht="12.75" customHeight="1" x14ac:dyDescent="0.2">
      <c r="A765" s="8"/>
      <c r="B765" s="17"/>
      <c r="C765" s="8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25"/>
      <c r="AO765" s="11"/>
    </row>
    <row r="766" spans="1:41" ht="12.75" customHeight="1" x14ac:dyDescent="0.2">
      <c r="A766" s="8"/>
      <c r="B766" s="17"/>
      <c r="C766" s="8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25"/>
      <c r="AO766" s="11"/>
    </row>
    <row r="767" spans="1:41" ht="12.75" customHeight="1" x14ac:dyDescent="0.2">
      <c r="A767" s="8"/>
      <c r="B767" s="17"/>
      <c r="C767" s="8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25"/>
      <c r="AO767" s="11"/>
    </row>
    <row r="768" spans="1:41" ht="12.75" customHeight="1" x14ac:dyDescent="0.2">
      <c r="A768" s="8"/>
      <c r="B768" s="17"/>
      <c r="C768" s="8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25"/>
      <c r="AO768" s="11"/>
    </row>
    <row r="769" spans="1:41" ht="12.75" customHeight="1" x14ac:dyDescent="0.2">
      <c r="A769" s="8"/>
      <c r="B769" s="17"/>
      <c r="C769" s="8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25"/>
      <c r="AO769" s="11"/>
    </row>
    <row r="770" spans="1:41" ht="12.75" customHeight="1" x14ac:dyDescent="0.2">
      <c r="A770" s="8"/>
      <c r="B770" s="17"/>
      <c r="C770" s="8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25"/>
      <c r="AO770" s="11"/>
    </row>
    <row r="771" spans="1:41" ht="12.75" customHeight="1" x14ac:dyDescent="0.2">
      <c r="A771" s="8"/>
      <c r="B771" s="17"/>
      <c r="C771" s="8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25"/>
      <c r="AO771" s="11"/>
    </row>
    <row r="772" spans="1:41" ht="12.75" customHeight="1" x14ac:dyDescent="0.2">
      <c r="A772" s="8"/>
      <c r="B772" s="17"/>
      <c r="C772" s="8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25"/>
      <c r="AO772" s="11"/>
    </row>
    <row r="773" spans="1:41" ht="12.75" customHeight="1" x14ac:dyDescent="0.2">
      <c r="A773" s="8"/>
      <c r="B773" s="17"/>
      <c r="C773" s="8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25"/>
      <c r="AO773" s="11"/>
    </row>
    <row r="774" spans="1:41" ht="12.75" customHeight="1" x14ac:dyDescent="0.2">
      <c r="A774" s="8"/>
      <c r="B774" s="17"/>
      <c r="C774" s="8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25"/>
      <c r="AO774" s="11"/>
    </row>
    <row r="775" spans="1:41" ht="12.75" customHeight="1" x14ac:dyDescent="0.2">
      <c r="A775" s="8"/>
      <c r="B775" s="17"/>
      <c r="C775" s="8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25"/>
      <c r="AO775" s="11"/>
    </row>
    <row r="776" spans="1:41" ht="12.75" customHeight="1" x14ac:dyDescent="0.2">
      <c r="A776" s="8"/>
      <c r="B776" s="17"/>
      <c r="C776" s="8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25"/>
      <c r="AO776" s="11"/>
    </row>
    <row r="777" spans="1:41" ht="12.75" customHeight="1" x14ac:dyDescent="0.2">
      <c r="A777" s="8"/>
      <c r="B777" s="17"/>
      <c r="C777" s="8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25"/>
      <c r="AO777" s="11"/>
    </row>
    <row r="778" spans="1:41" ht="12.75" customHeight="1" x14ac:dyDescent="0.2">
      <c r="A778" s="8"/>
      <c r="B778" s="17"/>
      <c r="C778" s="8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25"/>
      <c r="AO778" s="11"/>
    </row>
    <row r="779" spans="1:41" ht="12.75" customHeight="1" x14ac:dyDescent="0.2">
      <c r="A779" s="8"/>
      <c r="B779" s="17"/>
      <c r="C779" s="8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25"/>
      <c r="AO779" s="11"/>
    </row>
    <row r="780" spans="1:41" ht="12.75" customHeight="1" x14ac:dyDescent="0.2">
      <c r="A780" s="8"/>
      <c r="B780" s="17"/>
      <c r="C780" s="8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25"/>
      <c r="AO780" s="11"/>
    </row>
    <row r="781" spans="1:41" ht="12.75" customHeight="1" x14ac:dyDescent="0.2">
      <c r="A781" s="8"/>
      <c r="B781" s="17"/>
      <c r="C781" s="8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25"/>
      <c r="AO781" s="11"/>
    </row>
    <row r="782" spans="1:41" ht="12.75" customHeight="1" x14ac:dyDescent="0.2">
      <c r="A782" s="8"/>
      <c r="B782" s="17"/>
      <c r="C782" s="8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25"/>
      <c r="AO782" s="11"/>
    </row>
    <row r="783" spans="1:41" ht="12.75" customHeight="1" x14ac:dyDescent="0.2">
      <c r="A783" s="8"/>
      <c r="B783" s="17"/>
      <c r="C783" s="8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25"/>
      <c r="AO783" s="11"/>
    </row>
    <row r="784" spans="1:41" ht="12.75" customHeight="1" x14ac:dyDescent="0.2">
      <c r="A784" s="8"/>
      <c r="B784" s="17"/>
      <c r="C784" s="8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25"/>
      <c r="AO784" s="11"/>
    </row>
    <row r="785" spans="1:41" ht="12.75" customHeight="1" x14ac:dyDescent="0.2">
      <c r="A785" s="8"/>
      <c r="B785" s="17"/>
      <c r="C785" s="8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25"/>
      <c r="AO785" s="11"/>
    </row>
    <row r="786" spans="1:41" ht="12.75" customHeight="1" x14ac:dyDescent="0.2">
      <c r="A786" s="8"/>
      <c r="B786" s="17"/>
      <c r="C786" s="8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25"/>
      <c r="AO786" s="11"/>
    </row>
    <row r="787" spans="1:41" ht="12.75" customHeight="1" x14ac:dyDescent="0.2">
      <c r="A787" s="8"/>
      <c r="B787" s="17"/>
      <c r="C787" s="8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25"/>
      <c r="AO787" s="11"/>
    </row>
    <row r="788" spans="1:41" ht="12.75" customHeight="1" x14ac:dyDescent="0.2">
      <c r="A788" s="8"/>
      <c r="B788" s="17"/>
      <c r="C788" s="8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25"/>
      <c r="AO788" s="11"/>
    </row>
    <row r="789" spans="1:41" ht="12.75" customHeight="1" x14ac:dyDescent="0.2">
      <c r="A789" s="8"/>
      <c r="B789" s="17"/>
      <c r="C789" s="8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25"/>
      <c r="AO789" s="11"/>
    </row>
    <row r="790" spans="1:41" ht="12.75" customHeight="1" x14ac:dyDescent="0.2">
      <c r="A790" s="8"/>
      <c r="B790" s="17"/>
      <c r="C790" s="8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25"/>
      <c r="AO790" s="11"/>
    </row>
    <row r="791" spans="1:41" ht="12.75" customHeight="1" x14ac:dyDescent="0.2">
      <c r="A791" s="8"/>
      <c r="B791" s="17"/>
      <c r="C791" s="8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25"/>
      <c r="AO791" s="11"/>
    </row>
    <row r="792" spans="1:41" ht="12.75" customHeight="1" x14ac:dyDescent="0.2">
      <c r="A792" s="8"/>
      <c r="B792" s="17"/>
      <c r="C792" s="8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25"/>
      <c r="AO792" s="11"/>
    </row>
    <row r="793" spans="1:41" ht="12.75" customHeight="1" x14ac:dyDescent="0.2">
      <c r="A793" s="8"/>
      <c r="B793" s="17"/>
      <c r="C793" s="8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25"/>
      <c r="AO793" s="11"/>
    </row>
    <row r="794" spans="1:41" ht="12.75" customHeight="1" x14ac:dyDescent="0.2">
      <c r="A794" s="8"/>
      <c r="B794" s="17"/>
      <c r="C794" s="8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25"/>
      <c r="AO794" s="11"/>
    </row>
    <row r="795" spans="1:41" ht="12.75" customHeight="1" x14ac:dyDescent="0.2">
      <c r="A795" s="8"/>
      <c r="B795" s="17"/>
      <c r="C795" s="8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25"/>
      <c r="AO795" s="11"/>
    </row>
    <row r="796" spans="1:41" ht="12.75" customHeight="1" x14ac:dyDescent="0.2">
      <c r="A796" s="8"/>
      <c r="B796" s="17"/>
      <c r="C796" s="8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25"/>
      <c r="AO796" s="11"/>
    </row>
    <row r="797" spans="1:41" ht="12.75" customHeight="1" x14ac:dyDescent="0.2">
      <c r="A797" s="8"/>
      <c r="B797" s="17"/>
      <c r="C797" s="8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25"/>
      <c r="AO797" s="11"/>
    </row>
    <row r="798" spans="1:41" ht="12.75" customHeight="1" x14ac:dyDescent="0.2">
      <c r="A798" s="8"/>
      <c r="B798" s="17"/>
      <c r="C798" s="8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25"/>
      <c r="AO798" s="11"/>
    </row>
    <row r="799" spans="1:41" ht="12.75" customHeight="1" x14ac:dyDescent="0.2">
      <c r="A799" s="8"/>
      <c r="B799" s="17"/>
      <c r="C799" s="8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25"/>
      <c r="AO799" s="11"/>
    </row>
    <row r="800" spans="1:41" ht="12.75" customHeight="1" x14ac:dyDescent="0.2">
      <c r="A800" s="8"/>
      <c r="B800" s="17"/>
      <c r="C800" s="8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25"/>
      <c r="AO800" s="11"/>
    </row>
    <row r="801" spans="1:41" ht="12.75" customHeight="1" x14ac:dyDescent="0.2">
      <c r="A801" s="8"/>
      <c r="B801" s="17"/>
      <c r="C801" s="8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25"/>
      <c r="AO801" s="11"/>
    </row>
    <row r="802" spans="1:41" ht="12.75" customHeight="1" x14ac:dyDescent="0.2">
      <c r="A802" s="8"/>
      <c r="B802" s="17"/>
      <c r="C802" s="8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25"/>
      <c r="AO802" s="11"/>
    </row>
    <row r="803" spans="1:41" ht="12.75" customHeight="1" x14ac:dyDescent="0.2">
      <c r="A803" s="8"/>
      <c r="B803" s="17"/>
      <c r="C803" s="8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25"/>
      <c r="AO803" s="11"/>
    </row>
    <row r="804" spans="1:41" ht="12.75" customHeight="1" x14ac:dyDescent="0.2">
      <c r="A804" s="8"/>
      <c r="B804" s="17"/>
      <c r="C804" s="8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25"/>
      <c r="AO804" s="11"/>
    </row>
    <row r="805" spans="1:41" ht="12.75" customHeight="1" x14ac:dyDescent="0.2">
      <c r="A805" s="8"/>
      <c r="B805" s="17"/>
      <c r="C805" s="8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25"/>
      <c r="AO805" s="11"/>
    </row>
    <row r="806" spans="1:41" ht="12.75" customHeight="1" x14ac:dyDescent="0.2">
      <c r="A806" s="8"/>
      <c r="B806" s="17"/>
      <c r="C806" s="8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25"/>
      <c r="AO806" s="11"/>
    </row>
    <row r="807" spans="1:41" ht="12.75" customHeight="1" x14ac:dyDescent="0.2">
      <c r="A807" s="8"/>
      <c r="B807" s="17"/>
      <c r="C807" s="8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25"/>
      <c r="AO807" s="11"/>
    </row>
    <row r="808" spans="1:41" ht="12.75" customHeight="1" x14ac:dyDescent="0.2">
      <c r="A808" s="8"/>
      <c r="B808" s="17"/>
      <c r="C808" s="8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25"/>
      <c r="AO808" s="11"/>
    </row>
    <row r="809" spans="1:41" ht="12.75" customHeight="1" x14ac:dyDescent="0.2">
      <c r="A809" s="8"/>
      <c r="B809" s="17"/>
      <c r="C809" s="8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25"/>
      <c r="AO809" s="11"/>
    </row>
    <row r="810" spans="1:41" ht="12.75" customHeight="1" x14ac:dyDescent="0.2">
      <c r="A810" s="8"/>
      <c r="B810" s="17"/>
      <c r="C810" s="8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25"/>
      <c r="AO810" s="11"/>
    </row>
    <row r="811" spans="1:41" ht="12.75" customHeight="1" x14ac:dyDescent="0.2">
      <c r="A811" s="8"/>
      <c r="B811" s="17"/>
      <c r="C811" s="8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25"/>
      <c r="AO811" s="11"/>
    </row>
    <row r="812" spans="1:41" ht="12.75" customHeight="1" x14ac:dyDescent="0.2">
      <c r="A812" s="8"/>
      <c r="B812" s="17"/>
      <c r="C812" s="8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25"/>
      <c r="AO812" s="11"/>
    </row>
    <row r="813" spans="1:41" ht="12.75" customHeight="1" x14ac:dyDescent="0.2">
      <c r="A813" s="8"/>
      <c r="B813" s="17"/>
      <c r="C813" s="8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25"/>
      <c r="AO813" s="11"/>
    </row>
    <row r="814" spans="1:41" ht="12.75" customHeight="1" x14ac:dyDescent="0.2">
      <c r="A814" s="8"/>
      <c r="B814" s="17"/>
      <c r="C814" s="8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25"/>
      <c r="AO814" s="11"/>
    </row>
    <row r="815" spans="1:41" ht="12.75" customHeight="1" x14ac:dyDescent="0.2">
      <c r="A815" s="8"/>
      <c r="B815" s="17"/>
      <c r="C815" s="8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25"/>
      <c r="AO815" s="11"/>
    </row>
    <row r="816" spans="1:41" ht="12.75" customHeight="1" x14ac:dyDescent="0.2">
      <c r="A816" s="8"/>
      <c r="B816" s="17"/>
      <c r="C816" s="8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25"/>
      <c r="AO816" s="11"/>
    </row>
    <row r="817" spans="1:41" ht="12.75" customHeight="1" x14ac:dyDescent="0.2">
      <c r="A817" s="8"/>
      <c r="B817" s="17"/>
      <c r="C817" s="8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25"/>
      <c r="AO817" s="11"/>
    </row>
    <row r="818" spans="1:41" ht="12.75" customHeight="1" x14ac:dyDescent="0.2">
      <c r="A818" s="8"/>
      <c r="B818" s="17"/>
      <c r="C818" s="8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25"/>
      <c r="AO818" s="11"/>
    </row>
    <row r="819" spans="1:41" ht="12.75" customHeight="1" x14ac:dyDescent="0.2">
      <c r="A819" s="8"/>
      <c r="B819" s="17"/>
      <c r="C819" s="8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25"/>
      <c r="AO819" s="11"/>
    </row>
    <row r="820" spans="1:41" ht="12.75" customHeight="1" x14ac:dyDescent="0.2">
      <c r="A820" s="8"/>
      <c r="B820" s="17"/>
      <c r="C820" s="8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25"/>
      <c r="AO820" s="11"/>
    </row>
    <row r="821" spans="1:41" ht="12.75" customHeight="1" x14ac:dyDescent="0.2">
      <c r="A821" s="8"/>
      <c r="B821" s="17"/>
      <c r="C821" s="8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25"/>
      <c r="AO821" s="11"/>
    </row>
    <row r="822" spans="1:41" ht="12.75" customHeight="1" x14ac:dyDescent="0.2">
      <c r="A822" s="8"/>
      <c r="B822" s="17"/>
      <c r="C822" s="8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25"/>
      <c r="AO822" s="11"/>
    </row>
    <row r="823" spans="1:41" ht="12.75" customHeight="1" x14ac:dyDescent="0.2">
      <c r="A823" s="8"/>
      <c r="B823" s="17"/>
      <c r="C823" s="8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25"/>
      <c r="AO823" s="11"/>
    </row>
    <row r="824" spans="1:41" ht="12.75" customHeight="1" x14ac:dyDescent="0.2">
      <c r="A824" s="8"/>
      <c r="B824" s="17"/>
      <c r="C824" s="8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25"/>
      <c r="AO824" s="11"/>
    </row>
    <row r="825" spans="1:41" ht="12.75" customHeight="1" x14ac:dyDescent="0.2">
      <c r="A825" s="8"/>
      <c r="B825" s="17"/>
      <c r="C825" s="8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25"/>
      <c r="AO825" s="11"/>
    </row>
    <row r="826" spans="1:41" ht="12.75" customHeight="1" x14ac:dyDescent="0.2">
      <c r="A826" s="8"/>
      <c r="B826" s="17"/>
      <c r="C826" s="8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25"/>
      <c r="AO826" s="11"/>
    </row>
    <row r="827" spans="1:41" ht="12.75" customHeight="1" x14ac:dyDescent="0.2">
      <c r="A827" s="8"/>
      <c r="B827" s="17"/>
      <c r="C827" s="8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25"/>
      <c r="AO827" s="11"/>
    </row>
    <row r="828" spans="1:41" ht="12.75" customHeight="1" x14ac:dyDescent="0.2">
      <c r="A828" s="8"/>
      <c r="B828" s="17"/>
      <c r="C828" s="8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25"/>
      <c r="AO828" s="11"/>
    </row>
    <row r="829" spans="1:41" ht="12.75" customHeight="1" x14ac:dyDescent="0.2">
      <c r="A829" s="8"/>
      <c r="B829" s="17"/>
      <c r="C829" s="8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25"/>
      <c r="AO829" s="11"/>
    </row>
    <row r="830" spans="1:41" ht="12.75" customHeight="1" x14ac:dyDescent="0.2">
      <c r="A830" s="8"/>
      <c r="B830" s="17"/>
      <c r="C830" s="8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25"/>
      <c r="AO830" s="11"/>
    </row>
    <row r="831" spans="1:41" ht="12.75" customHeight="1" x14ac:dyDescent="0.2">
      <c r="A831" s="8"/>
      <c r="B831" s="17"/>
      <c r="C831" s="8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25"/>
      <c r="AO831" s="11"/>
    </row>
    <row r="832" spans="1:41" ht="12.75" customHeight="1" x14ac:dyDescent="0.2">
      <c r="A832" s="8"/>
      <c r="B832" s="17"/>
      <c r="C832" s="8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25"/>
      <c r="AO832" s="11"/>
    </row>
    <row r="833" spans="1:41" ht="12.75" customHeight="1" x14ac:dyDescent="0.2">
      <c r="A833" s="8"/>
      <c r="B833" s="17"/>
      <c r="C833" s="8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25"/>
      <c r="AO833" s="11"/>
    </row>
    <row r="834" spans="1:41" ht="12.75" customHeight="1" x14ac:dyDescent="0.2">
      <c r="A834" s="8"/>
      <c r="B834" s="17"/>
      <c r="C834" s="8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25"/>
      <c r="AO834" s="11"/>
    </row>
    <row r="835" spans="1:41" ht="12.75" customHeight="1" x14ac:dyDescent="0.2">
      <c r="A835" s="8"/>
      <c r="B835" s="17"/>
      <c r="C835" s="8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25"/>
      <c r="AO835" s="11"/>
    </row>
    <row r="836" spans="1:41" ht="12.75" customHeight="1" x14ac:dyDescent="0.2">
      <c r="A836" s="8"/>
      <c r="B836" s="17"/>
      <c r="C836" s="8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25"/>
      <c r="AO836" s="11"/>
    </row>
    <row r="837" spans="1:41" ht="12.75" customHeight="1" x14ac:dyDescent="0.2">
      <c r="A837" s="8"/>
      <c r="B837" s="17"/>
      <c r="C837" s="8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25"/>
      <c r="AO837" s="11"/>
    </row>
    <row r="838" spans="1:41" ht="12.75" customHeight="1" x14ac:dyDescent="0.2">
      <c r="A838" s="8"/>
      <c r="B838" s="17"/>
      <c r="C838" s="8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25"/>
      <c r="AO838" s="11"/>
    </row>
    <row r="839" spans="1:41" ht="12.75" customHeight="1" x14ac:dyDescent="0.2">
      <c r="A839" s="8"/>
      <c r="B839" s="17"/>
      <c r="C839" s="8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25"/>
      <c r="AO839" s="11"/>
    </row>
    <row r="840" spans="1:41" ht="12.75" customHeight="1" x14ac:dyDescent="0.2">
      <c r="A840" s="8"/>
      <c r="B840" s="17"/>
      <c r="C840" s="8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25"/>
      <c r="AO840" s="11"/>
    </row>
    <row r="841" spans="1:41" ht="12.75" customHeight="1" x14ac:dyDescent="0.2">
      <c r="A841" s="8"/>
      <c r="B841" s="17"/>
      <c r="C841" s="8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25"/>
      <c r="AO841" s="11"/>
    </row>
    <row r="842" spans="1:41" ht="12.75" customHeight="1" x14ac:dyDescent="0.2">
      <c r="A842" s="8"/>
      <c r="B842" s="17"/>
      <c r="C842" s="8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25"/>
      <c r="AO842" s="11"/>
    </row>
    <row r="843" spans="1:41" ht="12.75" customHeight="1" x14ac:dyDescent="0.2">
      <c r="A843" s="8"/>
      <c r="B843" s="17"/>
      <c r="C843" s="8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25"/>
      <c r="AO843" s="11"/>
    </row>
    <row r="844" spans="1:41" ht="12.75" customHeight="1" x14ac:dyDescent="0.2">
      <c r="A844" s="8"/>
      <c r="B844" s="17"/>
      <c r="C844" s="8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25"/>
      <c r="AO844" s="11"/>
    </row>
    <row r="845" spans="1:41" ht="12.75" customHeight="1" x14ac:dyDescent="0.2">
      <c r="A845" s="8"/>
      <c r="B845" s="17"/>
      <c r="C845" s="8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25"/>
      <c r="AO845" s="11"/>
    </row>
    <row r="846" spans="1:41" ht="12.75" customHeight="1" x14ac:dyDescent="0.2">
      <c r="A846" s="8"/>
      <c r="B846" s="17"/>
      <c r="C846" s="8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25"/>
      <c r="AO846" s="11"/>
    </row>
    <row r="847" spans="1:41" ht="12.75" customHeight="1" x14ac:dyDescent="0.2">
      <c r="A847" s="8"/>
      <c r="B847" s="17"/>
      <c r="C847" s="8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25"/>
      <c r="AO847" s="11"/>
    </row>
    <row r="848" spans="1:41" ht="12.75" customHeight="1" x14ac:dyDescent="0.2">
      <c r="A848" s="8"/>
      <c r="B848" s="17"/>
      <c r="C848" s="8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25"/>
      <c r="AO848" s="11"/>
    </row>
    <row r="849" spans="1:41" ht="12.75" customHeight="1" x14ac:dyDescent="0.2">
      <c r="A849" s="8"/>
      <c r="B849" s="17"/>
      <c r="C849" s="8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25"/>
      <c r="AO849" s="11"/>
    </row>
    <row r="850" spans="1:41" ht="12.75" customHeight="1" x14ac:dyDescent="0.2">
      <c r="A850" s="8"/>
      <c r="B850" s="17"/>
      <c r="C850" s="8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25"/>
      <c r="AO850" s="11"/>
    </row>
    <row r="851" spans="1:41" ht="12.75" customHeight="1" x14ac:dyDescent="0.2">
      <c r="A851" s="8"/>
      <c r="B851" s="17"/>
      <c r="C851" s="8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25"/>
      <c r="AO851" s="11"/>
    </row>
    <row r="852" spans="1:41" ht="12.75" customHeight="1" x14ac:dyDescent="0.2">
      <c r="A852" s="8"/>
      <c r="B852" s="17"/>
      <c r="C852" s="8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25"/>
      <c r="AO852" s="11"/>
    </row>
    <row r="853" spans="1:41" ht="12.75" customHeight="1" x14ac:dyDescent="0.2">
      <c r="A853" s="8"/>
      <c r="B853" s="17"/>
      <c r="C853" s="8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25"/>
      <c r="AO853" s="11"/>
    </row>
    <row r="854" spans="1:41" ht="12.75" customHeight="1" x14ac:dyDescent="0.2">
      <c r="A854" s="8"/>
      <c r="B854" s="17"/>
      <c r="C854" s="8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25"/>
      <c r="AO854" s="11"/>
    </row>
    <row r="855" spans="1:41" ht="12.75" customHeight="1" x14ac:dyDescent="0.2">
      <c r="A855" s="8"/>
      <c r="B855" s="17"/>
      <c r="C855" s="8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25"/>
      <c r="AO855" s="11"/>
    </row>
    <row r="856" spans="1:41" ht="12.75" customHeight="1" x14ac:dyDescent="0.2">
      <c r="A856" s="8"/>
      <c r="B856" s="17"/>
      <c r="C856" s="8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25"/>
      <c r="AO856" s="11"/>
    </row>
    <row r="857" spans="1:41" ht="12.75" customHeight="1" x14ac:dyDescent="0.2">
      <c r="A857" s="8"/>
      <c r="B857" s="17"/>
      <c r="C857" s="8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25"/>
      <c r="AO857" s="11"/>
    </row>
    <row r="858" spans="1:41" ht="12.75" customHeight="1" x14ac:dyDescent="0.2">
      <c r="A858" s="8"/>
      <c r="B858" s="17"/>
      <c r="C858" s="8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25"/>
      <c r="AO858" s="11"/>
    </row>
    <row r="859" spans="1:41" ht="12.75" customHeight="1" x14ac:dyDescent="0.2">
      <c r="A859" s="8"/>
      <c r="B859" s="17"/>
      <c r="C859" s="8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25"/>
      <c r="AO859" s="11"/>
    </row>
    <row r="860" spans="1:41" ht="12.75" customHeight="1" x14ac:dyDescent="0.2">
      <c r="A860" s="8"/>
      <c r="B860" s="17"/>
      <c r="C860" s="8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25"/>
      <c r="AO860" s="11"/>
    </row>
    <row r="861" spans="1:41" ht="12.75" customHeight="1" x14ac:dyDescent="0.2">
      <c r="A861" s="8"/>
      <c r="B861" s="17"/>
      <c r="C861" s="8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25"/>
      <c r="AO861" s="11"/>
    </row>
    <row r="862" spans="1:41" ht="12.75" customHeight="1" x14ac:dyDescent="0.2">
      <c r="A862" s="8"/>
      <c r="B862" s="17"/>
      <c r="C862" s="8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25"/>
      <c r="AO862" s="11"/>
    </row>
    <row r="863" spans="1:41" ht="12.75" customHeight="1" x14ac:dyDescent="0.2">
      <c r="A863" s="8"/>
      <c r="B863" s="17"/>
      <c r="C863" s="8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25"/>
      <c r="AO863" s="11"/>
    </row>
    <row r="864" spans="1:41" ht="12.75" customHeight="1" x14ac:dyDescent="0.2">
      <c r="A864" s="8"/>
      <c r="B864" s="17"/>
      <c r="C864" s="8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25"/>
      <c r="AO864" s="11"/>
    </row>
    <row r="865" spans="1:41" ht="12.75" customHeight="1" x14ac:dyDescent="0.2">
      <c r="A865" s="8"/>
      <c r="B865" s="17"/>
      <c r="C865" s="8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25"/>
      <c r="AO865" s="11"/>
    </row>
    <row r="866" spans="1:41" ht="12.75" customHeight="1" x14ac:dyDescent="0.2">
      <c r="A866" s="8"/>
      <c r="B866" s="17"/>
      <c r="C866" s="8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25"/>
      <c r="AO866" s="11"/>
    </row>
    <row r="867" spans="1:41" ht="12.75" customHeight="1" x14ac:dyDescent="0.2">
      <c r="A867" s="8"/>
      <c r="B867" s="17"/>
      <c r="C867" s="8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25"/>
      <c r="AO867" s="11"/>
    </row>
    <row r="868" spans="1:41" ht="12.75" customHeight="1" x14ac:dyDescent="0.2">
      <c r="A868" s="8"/>
      <c r="B868" s="17"/>
      <c r="C868" s="8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25"/>
      <c r="AO868" s="11"/>
    </row>
    <row r="869" spans="1:41" ht="12.75" customHeight="1" x14ac:dyDescent="0.2">
      <c r="A869" s="8"/>
      <c r="B869" s="17"/>
      <c r="C869" s="8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25"/>
      <c r="AO869" s="11"/>
    </row>
    <row r="870" spans="1:41" ht="12.75" customHeight="1" x14ac:dyDescent="0.2">
      <c r="A870" s="8"/>
      <c r="B870" s="17"/>
      <c r="C870" s="8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25"/>
      <c r="AO870" s="11"/>
    </row>
    <row r="871" spans="1:41" ht="12.75" customHeight="1" x14ac:dyDescent="0.2">
      <c r="A871" s="8"/>
      <c r="B871" s="17"/>
      <c r="C871" s="8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25"/>
      <c r="AO871" s="11"/>
    </row>
    <row r="872" spans="1:41" ht="12.75" customHeight="1" x14ac:dyDescent="0.2">
      <c r="A872" s="8"/>
      <c r="B872" s="17"/>
      <c r="C872" s="8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25"/>
      <c r="AO872" s="11"/>
    </row>
    <row r="873" spans="1:41" ht="12.75" customHeight="1" x14ac:dyDescent="0.2">
      <c r="A873" s="8"/>
      <c r="B873" s="17"/>
      <c r="C873" s="8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25"/>
      <c r="AO873" s="11"/>
    </row>
    <row r="874" spans="1:41" ht="12.75" customHeight="1" x14ac:dyDescent="0.2">
      <c r="A874" s="8"/>
      <c r="B874" s="17"/>
      <c r="C874" s="8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25"/>
      <c r="AO874" s="11"/>
    </row>
    <row r="875" spans="1:41" ht="12.75" customHeight="1" x14ac:dyDescent="0.2">
      <c r="A875" s="8"/>
      <c r="B875" s="17"/>
      <c r="C875" s="8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25"/>
      <c r="AO875" s="11"/>
    </row>
    <row r="876" spans="1:41" ht="12.75" customHeight="1" x14ac:dyDescent="0.2">
      <c r="A876" s="8"/>
      <c r="B876" s="17"/>
      <c r="C876" s="8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25"/>
      <c r="AO876" s="11"/>
    </row>
    <row r="877" spans="1:41" ht="12.75" customHeight="1" x14ac:dyDescent="0.2">
      <c r="A877" s="8"/>
      <c r="B877" s="17"/>
      <c r="C877" s="8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25"/>
      <c r="AO877" s="11"/>
    </row>
    <row r="878" spans="1:41" ht="12.75" customHeight="1" x14ac:dyDescent="0.2">
      <c r="A878" s="8"/>
      <c r="B878" s="17"/>
      <c r="C878" s="8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25"/>
      <c r="AO878" s="11"/>
    </row>
    <row r="879" spans="1:41" ht="12.75" customHeight="1" x14ac:dyDescent="0.2">
      <c r="A879" s="8"/>
      <c r="B879" s="17"/>
      <c r="C879" s="8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25"/>
      <c r="AO879" s="11"/>
    </row>
    <row r="880" spans="1:41" ht="12.75" customHeight="1" x14ac:dyDescent="0.2">
      <c r="A880" s="8"/>
      <c r="B880" s="17"/>
      <c r="C880" s="8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25"/>
      <c r="AO880" s="11"/>
    </row>
    <row r="881" spans="1:41" ht="12.75" customHeight="1" x14ac:dyDescent="0.2">
      <c r="A881" s="8"/>
      <c r="B881" s="17"/>
      <c r="C881" s="8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25"/>
      <c r="AO881" s="11"/>
    </row>
    <row r="882" spans="1:41" ht="12.75" customHeight="1" x14ac:dyDescent="0.2">
      <c r="A882" s="8"/>
      <c r="B882" s="17"/>
      <c r="C882" s="8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25"/>
      <c r="AO882" s="11"/>
    </row>
    <row r="883" spans="1:41" ht="12.75" customHeight="1" x14ac:dyDescent="0.2">
      <c r="A883" s="8"/>
      <c r="B883" s="17"/>
      <c r="C883" s="8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25"/>
      <c r="AO883" s="11"/>
    </row>
    <row r="884" spans="1:41" ht="12.75" customHeight="1" x14ac:dyDescent="0.2">
      <c r="A884" s="8"/>
      <c r="B884" s="17"/>
      <c r="C884" s="8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25"/>
      <c r="AO884" s="11"/>
    </row>
    <row r="885" spans="1:41" ht="12.75" customHeight="1" x14ac:dyDescent="0.2">
      <c r="A885" s="8"/>
      <c r="B885" s="17"/>
      <c r="C885" s="8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25"/>
      <c r="AO885" s="11"/>
    </row>
    <row r="886" spans="1:41" ht="12.75" customHeight="1" x14ac:dyDescent="0.2">
      <c r="A886" s="8"/>
      <c r="B886" s="17"/>
      <c r="C886" s="8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25"/>
      <c r="AO886" s="11"/>
    </row>
    <row r="887" spans="1:41" ht="12.75" customHeight="1" x14ac:dyDescent="0.2">
      <c r="A887" s="8"/>
      <c r="B887" s="17"/>
      <c r="C887" s="8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25"/>
      <c r="AO887" s="11"/>
    </row>
    <row r="888" spans="1:41" ht="12.75" customHeight="1" x14ac:dyDescent="0.2">
      <c r="A888" s="8"/>
      <c r="B888" s="17"/>
      <c r="C888" s="8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25"/>
      <c r="AO888" s="11"/>
    </row>
    <row r="889" spans="1:41" ht="12.75" customHeight="1" x14ac:dyDescent="0.2">
      <c r="A889" s="8"/>
      <c r="B889" s="17"/>
      <c r="C889" s="8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25"/>
      <c r="AO889" s="11"/>
    </row>
    <row r="890" spans="1:41" ht="12.75" customHeight="1" x14ac:dyDescent="0.2">
      <c r="A890" s="8"/>
      <c r="B890" s="17"/>
      <c r="C890" s="8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25"/>
      <c r="AO890" s="11"/>
    </row>
    <row r="891" spans="1:41" ht="12.75" customHeight="1" x14ac:dyDescent="0.2">
      <c r="A891" s="8"/>
      <c r="B891" s="17"/>
      <c r="C891" s="8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25"/>
      <c r="AO891" s="11"/>
    </row>
    <row r="892" spans="1:41" ht="12.75" customHeight="1" x14ac:dyDescent="0.2">
      <c r="A892" s="8"/>
      <c r="B892" s="17"/>
      <c r="C892" s="8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25"/>
      <c r="AO892" s="11"/>
    </row>
    <row r="893" spans="1:41" ht="12.75" customHeight="1" x14ac:dyDescent="0.2">
      <c r="A893" s="8"/>
      <c r="B893" s="17"/>
      <c r="C893" s="8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25"/>
      <c r="AO893" s="11"/>
    </row>
    <row r="894" spans="1:41" ht="12.75" customHeight="1" x14ac:dyDescent="0.2">
      <c r="A894" s="8"/>
      <c r="B894" s="17"/>
      <c r="C894" s="8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25"/>
      <c r="AO894" s="11"/>
    </row>
    <row r="895" spans="1:41" ht="12.75" customHeight="1" x14ac:dyDescent="0.2">
      <c r="A895" s="8"/>
      <c r="B895" s="17"/>
      <c r="C895" s="8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25"/>
      <c r="AO895" s="11"/>
    </row>
    <row r="896" spans="1:41" ht="12.75" customHeight="1" x14ac:dyDescent="0.2">
      <c r="A896" s="8"/>
      <c r="B896" s="17"/>
      <c r="C896" s="8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25"/>
      <c r="AO896" s="11"/>
    </row>
    <row r="897" spans="1:41" ht="12.75" customHeight="1" x14ac:dyDescent="0.2">
      <c r="A897" s="8"/>
      <c r="B897" s="17"/>
      <c r="C897" s="8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25"/>
      <c r="AO897" s="11"/>
    </row>
    <row r="898" spans="1:41" ht="12.75" customHeight="1" x14ac:dyDescent="0.2">
      <c r="A898" s="8"/>
      <c r="B898" s="17"/>
      <c r="C898" s="8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25"/>
      <c r="AO898" s="11"/>
    </row>
    <row r="899" spans="1:41" ht="12.75" customHeight="1" x14ac:dyDescent="0.2">
      <c r="A899" s="8"/>
      <c r="B899" s="17"/>
      <c r="C899" s="8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25"/>
      <c r="AO899" s="11"/>
    </row>
    <row r="900" spans="1:41" ht="12.75" customHeight="1" x14ac:dyDescent="0.2">
      <c r="A900" s="8"/>
      <c r="B900" s="17"/>
      <c r="C900" s="8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25"/>
      <c r="AO900" s="11"/>
    </row>
    <row r="901" spans="1:41" ht="12.75" customHeight="1" x14ac:dyDescent="0.2">
      <c r="A901" s="8"/>
      <c r="B901" s="17"/>
      <c r="C901" s="8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25"/>
      <c r="AO901" s="11"/>
    </row>
    <row r="902" spans="1:41" ht="12.75" customHeight="1" x14ac:dyDescent="0.2">
      <c r="A902" s="8"/>
      <c r="B902" s="17"/>
      <c r="C902" s="8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25"/>
      <c r="AO902" s="11"/>
    </row>
    <row r="903" spans="1:41" ht="12.75" customHeight="1" x14ac:dyDescent="0.2">
      <c r="A903" s="8"/>
      <c r="B903" s="17"/>
      <c r="C903" s="8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25"/>
      <c r="AO903" s="11"/>
    </row>
    <row r="904" spans="1:41" ht="12.75" customHeight="1" x14ac:dyDescent="0.2">
      <c r="A904" s="8"/>
      <c r="B904" s="17"/>
      <c r="C904" s="8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25"/>
      <c r="AO904" s="11"/>
    </row>
    <row r="905" spans="1:41" ht="12.75" customHeight="1" x14ac:dyDescent="0.2">
      <c r="A905" s="8"/>
      <c r="B905" s="17"/>
      <c r="C905" s="8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25"/>
      <c r="AO905" s="11"/>
    </row>
    <row r="906" spans="1:41" ht="12.75" customHeight="1" x14ac:dyDescent="0.2">
      <c r="A906" s="8"/>
      <c r="B906" s="17"/>
      <c r="C906" s="8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25"/>
      <c r="AO906" s="11"/>
    </row>
    <row r="907" spans="1:41" ht="12.75" customHeight="1" x14ac:dyDescent="0.2">
      <c r="A907" s="8"/>
      <c r="B907" s="17"/>
      <c r="C907" s="8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25"/>
      <c r="AO907" s="11"/>
    </row>
    <row r="908" spans="1:41" ht="12.75" customHeight="1" x14ac:dyDescent="0.2">
      <c r="A908" s="8"/>
      <c r="B908" s="17"/>
      <c r="C908" s="8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25"/>
      <c r="AO908" s="11"/>
    </row>
    <row r="909" spans="1:41" ht="12.75" customHeight="1" x14ac:dyDescent="0.2">
      <c r="A909" s="8"/>
      <c r="B909" s="17"/>
      <c r="C909" s="8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25"/>
      <c r="AO909" s="11"/>
    </row>
    <row r="910" spans="1:41" ht="12.75" customHeight="1" x14ac:dyDescent="0.2">
      <c r="A910" s="8"/>
      <c r="B910" s="17"/>
      <c r="C910" s="8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25"/>
      <c r="AO910" s="11"/>
    </row>
    <row r="911" spans="1:41" ht="12.75" customHeight="1" x14ac:dyDescent="0.2">
      <c r="A911" s="8"/>
      <c r="B911" s="17"/>
      <c r="C911" s="8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25"/>
      <c r="AO911" s="11"/>
    </row>
    <row r="912" spans="1:41" ht="12.75" customHeight="1" x14ac:dyDescent="0.2">
      <c r="A912" s="8"/>
      <c r="B912" s="17"/>
      <c r="C912" s="8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25"/>
      <c r="AO912" s="11"/>
    </row>
    <row r="913" spans="1:41" ht="12.75" customHeight="1" x14ac:dyDescent="0.2">
      <c r="A913" s="8"/>
      <c r="B913" s="17"/>
      <c r="C913" s="8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25"/>
      <c r="AO913" s="11"/>
    </row>
    <row r="914" spans="1:41" ht="12.75" customHeight="1" x14ac:dyDescent="0.2">
      <c r="A914" s="8"/>
      <c r="B914" s="17"/>
      <c r="C914" s="8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25"/>
      <c r="AO914" s="11"/>
    </row>
    <row r="915" spans="1:41" ht="12.75" customHeight="1" x14ac:dyDescent="0.2">
      <c r="A915" s="8"/>
      <c r="B915" s="17"/>
      <c r="C915" s="8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25"/>
      <c r="AO915" s="11"/>
    </row>
    <row r="916" spans="1:41" ht="12.75" customHeight="1" x14ac:dyDescent="0.2">
      <c r="A916" s="8"/>
      <c r="B916" s="17"/>
      <c r="C916" s="8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25"/>
      <c r="AO916" s="11"/>
    </row>
    <row r="917" spans="1:41" ht="12.75" customHeight="1" x14ac:dyDescent="0.2">
      <c r="A917" s="8"/>
      <c r="B917" s="17"/>
      <c r="C917" s="8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25"/>
      <c r="AO917" s="11"/>
    </row>
    <row r="918" spans="1:41" ht="12.75" customHeight="1" x14ac:dyDescent="0.2">
      <c r="A918" s="8"/>
      <c r="B918" s="17"/>
      <c r="C918" s="8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25"/>
      <c r="AO918" s="11"/>
    </row>
    <row r="919" spans="1:41" ht="12.75" customHeight="1" x14ac:dyDescent="0.2">
      <c r="A919" s="8"/>
      <c r="B919" s="17"/>
      <c r="C919" s="8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25"/>
      <c r="AO919" s="11"/>
    </row>
    <row r="920" spans="1:41" ht="12.75" customHeight="1" x14ac:dyDescent="0.2">
      <c r="A920" s="8"/>
      <c r="B920" s="17"/>
      <c r="C920" s="8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25"/>
      <c r="AO920" s="11"/>
    </row>
    <row r="921" spans="1:41" ht="12.75" customHeight="1" x14ac:dyDescent="0.2">
      <c r="A921" s="8"/>
      <c r="B921" s="17"/>
      <c r="C921" s="8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25"/>
      <c r="AO921" s="11"/>
    </row>
    <row r="922" spans="1:41" ht="12.75" customHeight="1" x14ac:dyDescent="0.2">
      <c r="A922" s="8"/>
      <c r="B922" s="17"/>
      <c r="C922" s="8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25"/>
      <c r="AO922" s="11"/>
    </row>
    <row r="923" spans="1:41" ht="12.75" customHeight="1" x14ac:dyDescent="0.2">
      <c r="A923" s="8"/>
      <c r="B923" s="17"/>
      <c r="C923" s="8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25"/>
      <c r="AO923" s="11"/>
    </row>
    <row r="924" spans="1:41" ht="12.75" customHeight="1" x14ac:dyDescent="0.2">
      <c r="A924" s="8"/>
      <c r="B924" s="17"/>
      <c r="C924" s="8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25"/>
      <c r="AO924" s="11"/>
    </row>
    <row r="925" spans="1:41" ht="12.75" customHeight="1" x14ac:dyDescent="0.2">
      <c r="A925" s="8"/>
      <c r="B925" s="17"/>
      <c r="C925" s="8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25"/>
      <c r="AO925" s="11"/>
    </row>
    <row r="926" spans="1:41" ht="12.75" customHeight="1" x14ac:dyDescent="0.2">
      <c r="A926" s="8"/>
      <c r="B926" s="17"/>
      <c r="C926" s="8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25"/>
      <c r="AO926" s="11"/>
    </row>
    <row r="927" spans="1:41" ht="12.75" customHeight="1" x14ac:dyDescent="0.2">
      <c r="A927" s="8"/>
      <c r="B927" s="17"/>
      <c r="C927" s="8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25"/>
      <c r="AO927" s="11"/>
    </row>
    <row r="928" spans="1:41" ht="12.75" customHeight="1" x14ac:dyDescent="0.2">
      <c r="A928" s="8"/>
      <c r="B928" s="17"/>
      <c r="C928" s="8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25"/>
      <c r="AO928" s="11"/>
    </row>
    <row r="929" spans="1:41" ht="12.75" customHeight="1" x14ac:dyDescent="0.2">
      <c r="A929" s="8"/>
      <c r="B929" s="17"/>
      <c r="C929" s="8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25"/>
      <c r="AO929" s="11"/>
    </row>
    <row r="930" spans="1:41" ht="12.75" customHeight="1" x14ac:dyDescent="0.2">
      <c r="A930" s="8"/>
      <c r="B930" s="17"/>
      <c r="C930" s="8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25"/>
      <c r="AO930" s="11"/>
    </row>
    <row r="931" spans="1:41" ht="12.75" customHeight="1" x14ac:dyDescent="0.2">
      <c r="A931" s="8"/>
      <c r="B931" s="17"/>
      <c r="C931" s="8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25"/>
      <c r="AO931" s="11"/>
    </row>
    <row r="932" spans="1:41" ht="12.75" customHeight="1" x14ac:dyDescent="0.2">
      <c r="A932" s="8"/>
      <c r="B932" s="17"/>
      <c r="C932" s="8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25"/>
      <c r="AO932" s="11"/>
    </row>
    <row r="933" spans="1:41" ht="12.75" customHeight="1" x14ac:dyDescent="0.2">
      <c r="A933" s="8"/>
      <c r="B933" s="17"/>
      <c r="C933" s="8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25"/>
      <c r="AO933" s="11"/>
    </row>
    <row r="934" spans="1:41" ht="12.75" customHeight="1" x14ac:dyDescent="0.2">
      <c r="A934" s="8"/>
      <c r="B934" s="17"/>
      <c r="C934" s="8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25"/>
      <c r="AO934" s="11"/>
    </row>
    <row r="935" spans="1:41" ht="12.75" customHeight="1" x14ac:dyDescent="0.2">
      <c r="A935" s="8"/>
      <c r="B935" s="17"/>
      <c r="C935" s="8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25"/>
      <c r="AO935" s="11"/>
    </row>
    <row r="936" spans="1:41" ht="12.75" customHeight="1" x14ac:dyDescent="0.2">
      <c r="A936" s="8"/>
      <c r="B936" s="17"/>
      <c r="C936" s="8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25"/>
      <c r="AO936" s="11"/>
    </row>
    <row r="937" spans="1:41" ht="12.75" customHeight="1" x14ac:dyDescent="0.2">
      <c r="A937" s="8"/>
      <c r="B937" s="17"/>
      <c r="C937" s="8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25"/>
      <c r="AO937" s="11"/>
    </row>
    <row r="938" spans="1:41" ht="12.75" customHeight="1" x14ac:dyDescent="0.2">
      <c r="A938" s="8"/>
      <c r="B938" s="17"/>
      <c r="C938" s="8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25"/>
      <c r="AO938" s="11"/>
    </row>
    <row r="939" spans="1:41" ht="12.75" customHeight="1" x14ac:dyDescent="0.2">
      <c r="A939" s="8"/>
      <c r="B939" s="17"/>
      <c r="C939" s="8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25"/>
      <c r="AO939" s="11"/>
    </row>
    <row r="940" spans="1:41" ht="12.75" customHeight="1" x14ac:dyDescent="0.2">
      <c r="A940" s="8"/>
      <c r="B940" s="17"/>
      <c r="C940" s="8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25"/>
      <c r="AO940" s="11"/>
    </row>
    <row r="941" spans="1:41" ht="12.75" customHeight="1" x14ac:dyDescent="0.2">
      <c r="A941" s="8"/>
      <c r="B941" s="17"/>
      <c r="C941" s="8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25"/>
      <c r="AO941" s="11"/>
    </row>
    <row r="942" spans="1:41" ht="12.75" customHeight="1" x14ac:dyDescent="0.2">
      <c r="A942" s="8"/>
      <c r="B942" s="17"/>
      <c r="C942" s="8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25"/>
      <c r="AO942" s="11"/>
    </row>
    <row r="943" spans="1:41" ht="12.75" customHeight="1" x14ac:dyDescent="0.2">
      <c r="A943" s="8"/>
      <c r="B943" s="17"/>
      <c r="C943" s="8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25"/>
      <c r="AO943" s="11"/>
    </row>
    <row r="944" spans="1:41" ht="12.75" customHeight="1" x14ac:dyDescent="0.2">
      <c r="A944" s="8"/>
      <c r="B944" s="17"/>
      <c r="C944" s="8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25"/>
      <c r="AO944" s="11"/>
    </row>
    <row r="945" spans="1:41" ht="12.75" customHeight="1" x14ac:dyDescent="0.2">
      <c r="A945" s="8"/>
      <c r="B945" s="17"/>
      <c r="C945" s="8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25"/>
      <c r="AO945" s="11"/>
    </row>
    <row r="946" spans="1:41" ht="12.75" customHeight="1" x14ac:dyDescent="0.2">
      <c r="A946" s="8"/>
      <c r="B946" s="17"/>
      <c r="C946" s="8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25"/>
      <c r="AO946" s="11"/>
    </row>
    <row r="947" spans="1:41" ht="12.75" customHeight="1" x14ac:dyDescent="0.2">
      <c r="A947" s="8"/>
      <c r="B947" s="17"/>
      <c r="C947" s="8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25"/>
      <c r="AO947" s="11"/>
    </row>
    <row r="948" spans="1:41" ht="12.75" customHeight="1" x14ac:dyDescent="0.2">
      <c r="A948" s="8"/>
      <c r="B948" s="17"/>
      <c r="C948" s="8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25"/>
      <c r="AO948" s="11"/>
    </row>
    <row r="949" spans="1:41" ht="12.75" customHeight="1" x14ac:dyDescent="0.2">
      <c r="A949" s="8"/>
      <c r="B949" s="17"/>
      <c r="C949" s="8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25"/>
      <c r="AO949" s="11"/>
    </row>
    <row r="950" spans="1:41" ht="12.75" customHeight="1" x14ac:dyDescent="0.2">
      <c r="A950" s="8"/>
      <c r="B950" s="17"/>
      <c r="C950" s="8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25"/>
      <c r="AO950" s="11"/>
    </row>
    <row r="951" spans="1:41" ht="12.75" customHeight="1" x14ac:dyDescent="0.2">
      <c r="A951" s="8"/>
      <c r="B951" s="17"/>
      <c r="C951" s="8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25"/>
      <c r="AO951" s="11"/>
    </row>
    <row r="952" spans="1:41" ht="12.75" customHeight="1" x14ac:dyDescent="0.2">
      <c r="A952" s="8"/>
      <c r="B952" s="17"/>
      <c r="C952" s="8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25"/>
      <c r="AO952" s="11"/>
    </row>
    <row r="953" spans="1:41" ht="12.75" customHeight="1" x14ac:dyDescent="0.2">
      <c r="A953" s="8"/>
      <c r="B953" s="17"/>
      <c r="C953" s="8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25"/>
      <c r="AO953" s="11"/>
    </row>
    <row r="954" spans="1:41" ht="12.75" customHeight="1" x14ac:dyDescent="0.2">
      <c r="A954" s="8"/>
      <c r="B954" s="17"/>
      <c r="C954" s="8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25"/>
      <c r="AO954" s="11"/>
    </row>
    <row r="955" spans="1:41" ht="12.75" customHeight="1" x14ac:dyDescent="0.2">
      <c r="A955" s="8"/>
      <c r="B955" s="17"/>
      <c r="C955" s="8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25"/>
      <c r="AO955" s="11"/>
    </row>
    <row r="956" spans="1:41" ht="12.75" customHeight="1" x14ac:dyDescent="0.2">
      <c r="A956" s="8"/>
      <c r="B956" s="17"/>
      <c r="C956" s="8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25"/>
      <c r="AO956" s="11"/>
    </row>
    <row r="957" spans="1:41" ht="12.75" customHeight="1" x14ac:dyDescent="0.2">
      <c r="A957" s="8"/>
      <c r="B957" s="17"/>
      <c r="C957" s="8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25"/>
      <c r="AO957" s="11"/>
    </row>
    <row r="958" spans="1:41" ht="12.75" customHeight="1" x14ac:dyDescent="0.2">
      <c r="A958" s="8"/>
      <c r="B958" s="17"/>
      <c r="C958" s="8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25"/>
      <c r="AO958" s="11"/>
    </row>
    <row r="959" spans="1:41" ht="12.75" customHeight="1" x14ac:dyDescent="0.2">
      <c r="A959" s="8"/>
      <c r="B959" s="17"/>
      <c r="C959" s="8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25"/>
      <c r="AO959" s="11"/>
    </row>
    <row r="960" spans="1:41" ht="12.75" customHeight="1" x14ac:dyDescent="0.2">
      <c r="A960" s="8"/>
      <c r="B960" s="17"/>
      <c r="C960" s="8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25"/>
      <c r="AO960" s="11"/>
    </row>
    <row r="961" spans="1:41" ht="12.75" customHeight="1" x14ac:dyDescent="0.2">
      <c r="A961" s="8"/>
      <c r="B961" s="17"/>
      <c r="C961" s="8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25"/>
      <c r="AO961" s="11"/>
    </row>
    <row r="962" spans="1:41" ht="12.75" customHeight="1" x14ac:dyDescent="0.2">
      <c r="A962" s="8"/>
      <c r="B962" s="17"/>
      <c r="C962" s="8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25"/>
      <c r="AO962" s="11"/>
    </row>
    <row r="963" spans="1:41" ht="12.75" customHeight="1" x14ac:dyDescent="0.2">
      <c r="A963" s="8"/>
      <c r="B963" s="17"/>
      <c r="C963" s="8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25"/>
      <c r="AO963" s="11"/>
    </row>
    <row r="964" spans="1:41" ht="12.75" customHeight="1" x14ac:dyDescent="0.2">
      <c r="A964" s="8"/>
      <c r="B964" s="17"/>
      <c r="C964" s="8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25"/>
      <c r="AO964" s="11"/>
    </row>
    <row r="965" spans="1:41" ht="12.75" customHeight="1" x14ac:dyDescent="0.2">
      <c r="A965" s="8"/>
      <c r="B965" s="17"/>
      <c r="C965" s="8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25"/>
      <c r="AO965" s="11"/>
    </row>
    <row r="966" spans="1:41" ht="12.75" customHeight="1" x14ac:dyDescent="0.2">
      <c r="A966" s="8"/>
      <c r="B966" s="17"/>
      <c r="C966" s="8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25"/>
      <c r="AO966" s="11"/>
    </row>
    <row r="967" spans="1:41" ht="12.75" customHeight="1" x14ac:dyDescent="0.2">
      <c r="A967" s="8"/>
      <c r="B967" s="17"/>
      <c r="C967" s="8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25"/>
      <c r="AO967" s="11"/>
    </row>
    <row r="968" spans="1:41" ht="12.75" customHeight="1" x14ac:dyDescent="0.2">
      <c r="A968" s="8"/>
      <c r="B968" s="17"/>
      <c r="C968" s="8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25"/>
      <c r="AO968" s="11"/>
    </row>
    <row r="969" spans="1:41" ht="12.75" customHeight="1" x14ac:dyDescent="0.2">
      <c r="A969" s="8"/>
      <c r="B969" s="17"/>
      <c r="C969" s="8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25"/>
      <c r="AO969" s="11"/>
    </row>
    <row r="970" spans="1:41" ht="12.75" customHeight="1" x14ac:dyDescent="0.2">
      <c r="A970" s="8"/>
      <c r="B970" s="17"/>
      <c r="C970" s="8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25"/>
      <c r="AO970" s="11"/>
    </row>
    <row r="971" spans="1:41" ht="12.75" customHeight="1" x14ac:dyDescent="0.2">
      <c r="A971" s="8"/>
      <c r="B971" s="17"/>
      <c r="C971" s="8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25"/>
      <c r="AO971" s="11"/>
    </row>
    <row r="972" spans="1:41" ht="12.75" customHeight="1" x14ac:dyDescent="0.2">
      <c r="A972" s="8"/>
      <c r="B972" s="17"/>
      <c r="C972" s="8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25"/>
      <c r="AO972" s="11"/>
    </row>
    <row r="973" spans="1:41" ht="12.75" customHeight="1" x14ac:dyDescent="0.2">
      <c r="A973" s="8"/>
      <c r="B973" s="17"/>
      <c r="C973" s="8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25"/>
      <c r="AO973" s="11"/>
    </row>
    <row r="974" spans="1:41" ht="12.75" customHeight="1" x14ac:dyDescent="0.2">
      <c r="A974" s="8"/>
      <c r="B974" s="17"/>
      <c r="C974" s="8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25"/>
      <c r="AO974" s="11"/>
    </row>
    <row r="975" spans="1:41" ht="12.75" customHeight="1" x14ac:dyDescent="0.2">
      <c r="A975" s="8"/>
      <c r="B975" s="17"/>
      <c r="C975" s="8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25"/>
      <c r="AO975" s="11"/>
    </row>
    <row r="976" spans="1:41" ht="12.75" customHeight="1" x14ac:dyDescent="0.2">
      <c r="A976" s="8"/>
      <c r="B976" s="17"/>
      <c r="C976" s="8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25"/>
      <c r="AO976" s="11"/>
    </row>
    <row r="977" spans="1:41" ht="12.75" customHeight="1" x14ac:dyDescent="0.2">
      <c r="A977" s="8"/>
      <c r="B977" s="17"/>
      <c r="C977" s="8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25"/>
      <c r="AO977" s="11"/>
    </row>
    <row r="978" spans="1:41" ht="12.75" customHeight="1" x14ac:dyDescent="0.2">
      <c r="A978" s="8"/>
      <c r="B978" s="17"/>
      <c r="C978" s="8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25"/>
      <c r="AO978" s="11"/>
    </row>
  </sheetData>
  <autoFilter ref="A1:AD12" xr:uid="{00000000-0009-0000-0000-000001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2025-09-27T08:30:52Z</dcterms:created>
  <dcterms:modified xsi:type="dcterms:W3CDTF">2025-09-27T08:35:52Z</dcterms:modified>
</cp:coreProperties>
</file>